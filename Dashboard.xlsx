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jjal Kumar Dey\Desktop\Hospital-Emergency-Room-Dashboard-main\"/>
    </mc:Choice>
  </mc:AlternateContent>
  <xr:revisionPtr revIDLastSave="0" documentId="8_{45ECC1C9-3757-47C4-99A9-343730BD4FDA}" xr6:coauthVersionLast="47" xr6:coauthVersionMax="47" xr10:uidLastSave="{00000000-0000-0000-0000-000000000000}"/>
  <bookViews>
    <workbookView xWindow="-120" yWindow="-120" windowWidth="20730" windowHeight="11160" activeTab="1" xr2:uid="{E66E1455-2746-4703-ADA3-D7BA972E695B}"/>
  </bookViews>
  <sheets>
    <sheet name="Pivot Tables" sheetId="5" r:id="rId1"/>
    <sheet name="Dashboard" sheetId="6" r:id="rId2"/>
  </sheets>
  <definedNames>
    <definedName name="Slicer_Date__Month">#N/A</definedName>
  </definedNames>
  <calcPr calcId="191029"/>
  <pivotCaches>
    <pivotCache cacheId="0" r:id="rId3"/>
    <pivotCache cacheId="1" r:id="rId4"/>
    <pivotCache cacheId="353" r:id="rId5"/>
    <pivotCache cacheId="422" r:id="rId6"/>
    <pivotCache cacheId="425" r:id="rId7"/>
    <pivotCache cacheId="428" r:id="rId8"/>
    <pivotCache cacheId="431" r:id="rId9"/>
    <pivotCache cacheId="434" r:id="rId10"/>
    <pivotCache cacheId="437" r:id="rId11"/>
    <pivotCache cacheId="440" r:id="rId12"/>
    <pivotCache cacheId="443" r:id="rId13"/>
    <pivotCache cacheId="446" r:id="rId14"/>
    <pivotCache cacheId="449" r:id="rId15"/>
    <pivotCache cacheId="452" r:id="rId16"/>
  </pivotCaches>
  <fileRecoveryPr repairLoad="1"/>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et  2_4d5d417e-10dd-4e34-b8f4-95ceb288c28e" name="Dataset  2" connection="Query - Dataset (2)"/>
          <x15:modelTable id="Calender_Table_cdfa15a6-3aa6-4062-973f-185fdb68c856" name="Calender_Table" connection="Query - Calender_Table"/>
        </x15:modelTables>
        <x15:modelRelationships>
          <x15:modelRelationship fromTable="Dataset  2" fromColumn="Date" toTable="Calender_Table" toColumn="Date"/>
        </x15:modelRelationships>
        <x15:extLst>
          <ext xmlns:x16="http://schemas.microsoft.com/office/spreadsheetml/2014/11/main" uri="{9835A34E-60A6-4A7C-AAB8-D5F71C897F49}">
            <x16:modelTimeGroupings>
              <x16:modelTimeGrouping tableName="Dataset  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5" i="5" l="1"/>
  <c r="E124" i="5"/>
  <c r="F84" i="5"/>
  <c r="E84" i="5"/>
  <c r="F83" i="5"/>
  <c r="E8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40265F-2BEC-43DE-BD23-39222B6F43CD}" name="Query - Calender_Table" description="Connection to the 'Calender_Table' query in the workbook." type="100" refreshedVersion="8" minRefreshableVersion="5">
    <extLst>
      <ext xmlns:x15="http://schemas.microsoft.com/office/spreadsheetml/2010/11/main" uri="{DE250136-89BD-433C-8126-D09CA5730AF9}">
        <x15:connection id="85453db2-42bb-464e-b810-52ddb9e87afc"/>
      </ext>
    </extLst>
  </connection>
  <connection id="2" xr16:uid="{A6269BC7-41EA-430A-89E6-B852CA39ECD6}" name="Query - Dataset (2)" description="Connection to the 'Dataset (2)' query in the workbook." type="100" refreshedVersion="8" minRefreshableVersion="5">
    <extLst>
      <ext xmlns:x15="http://schemas.microsoft.com/office/spreadsheetml/2010/11/main" uri="{DE250136-89BD-433C-8126-D09CA5730AF9}">
        <x15:connection id="a9049cf5-af38-42ac-bd80-0a1eb0245d8c"/>
      </ext>
    </extLst>
  </connection>
  <connection id="3" xr16:uid="{D42AF303-1EC5-44D0-9522-F1C2C68CF6A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<sst xmlns="http://schemas.openxmlformats.org/spreadsheetml/2006/main" count="97" uniqueCount="41">
  <si>
    <t>None</t>
  </si>
  <si>
    <t>General Practice</t>
  </si>
  <si>
    <t>Male</t>
  </si>
  <si>
    <t>Orthopedics</t>
  </si>
  <si>
    <t>Gastroenterology</t>
  </si>
  <si>
    <t>Physiotherapy</t>
  </si>
  <si>
    <t>Female</t>
  </si>
  <si>
    <t>Neurology</t>
  </si>
  <si>
    <t>Cardiology</t>
  </si>
  <si>
    <t>Renal</t>
  </si>
  <si>
    <t>Row Labels</t>
  </si>
  <si>
    <t>Grand Total</t>
  </si>
  <si>
    <t>2023</t>
  </si>
  <si>
    <t>Apr</t>
  </si>
  <si>
    <t>Count of Patient Id</t>
  </si>
  <si>
    <t>0-9</t>
  </si>
  <si>
    <t>10-19</t>
  </si>
  <si>
    <t>20-29</t>
  </si>
  <si>
    <t>30-39</t>
  </si>
  <si>
    <t>40-49</t>
  </si>
  <si>
    <t>50-59</t>
  </si>
  <si>
    <t>60-69</t>
  </si>
  <si>
    <t>70-79</t>
  </si>
  <si>
    <t>Count of Department Referral</t>
  </si>
  <si>
    <t>Delay</t>
  </si>
  <si>
    <t>Ontime</t>
  </si>
  <si>
    <t>Count of Waittime</t>
  </si>
  <si>
    <t>Count of Patient Gender</t>
  </si>
  <si>
    <t>Average of Patient Waittime</t>
  </si>
  <si>
    <t>FALSE</t>
  </si>
  <si>
    <t>TRUE</t>
  </si>
  <si>
    <t>Count of Patient Admission Flag</t>
  </si>
  <si>
    <t>Count of Age Gap</t>
  </si>
  <si>
    <t>2024</t>
  </si>
  <si>
    <t>Column Labels</t>
  </si>
  <si>
    <t>Jan</t>
  </si>
  <si>
    <t>Feb</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</si>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</sst>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B0F0"/>
      </font>
      <fill>
        <patternFill>
          <bgColor theme="4"/>
        </patternFill>
      </fill>
    </dxf>
    <dxf>
      <font>
        <b/>
        <i val="0"/>
      </font>
      <border diagonalUp="0" diagonalDown="0">
        <left/>
        <right/>
        <top/>
        <bottom/>
        <vertical/>
        <horizontal/>
      </border>
    </dxf>
    <dxf>
      <border diagonalUp="0" diagonalDown="0">
        <left/>
        <right/>
        <top/>
        <bottom/>
        <vertical/>
        <horizontal/>
      </border>
    </dxf>
    <dxf>
      <font>
        <b/>
        <i val="0"/>
        <color theme="0"/>
        <name val="Times New Roman"/>
        <family val="1"/>
        <scheme val="none"/>
      </font>
      <fill>
        <patternFill patternType="none">
          <bgColor auto="1"/>
        </patternFill>
      </fill>
      <border diagonalUp="0" diagonalDown="0">
        <left/>
        <right/>
        <top/>
        <bottom/>
        <vertical/>
        <horizontal/>
      </border>
    </dxf>
  </dxfs>
  <tableStyles count="6" defaultTableStyle="TableStyleMedium2" defaultPivotStyle="PivotStyleLight16">
    <tableStyle name="Slicer Style 1" pivot="0" table="0" count="1" xr9:uid="{C90EA5C2-458D-410F-B83E-6D39F99C4EF8}"/>
    <tableStyle name="Slicer Style 2" pivot="0" table="0" count="1" xr9:uid="{2BA6FA58-AD75-4EA7-873E-7381F37E1604}">
      <tableStyleElement type="headerRow" dxfId="3"/>
    </tableStyle>
    <tableStyle name="Slicer Style 3" pivot="0" table="0" count="1" xr9:uid="{6281E0B4-580E-41D5-8E86-DD09EA113627}">
      <tableStyleElement type="wholeTable" dxfId="2"/>
    </tableStyle>
    <tableStyle name="Slicer Style 4" pivot="0" table="0" count="1" xr9:uid="{1494BA31-BA61-44F3-ACC9-0E51D89AFE40}">
      <tableStyleElement type="wholeTable" dxfId="1"/>
    </tableStyle>
    <tableStyle name="Slicer Style 5" pivot="0" table="0" count="1" xr9:uid="{CD8663E2-D22A-49AC-8BBF-B349C74A59B2}"/>
    <tableStyle name="Slicer Style 6" pivot="0" table="0" count="1" xr9:uid="{B4B9A2D9-5A76-4079-920A-60CBDAC66D97}">
      <tableStyleElement type="wholeTable" dxfId="0"/>
    </tableStyle>
  </tableStyles>
  <extLst>
    <ext xmlns:x14="http://schemas.microsoft.com/office/spreadsheetml/2009/9/main" uri="{46F421CA-312F-682f-3DD2-61675219B42D}">
      <x14:dxfs count="2">
        <dxf>
          <font>
            <b/>
            <i val="0"/>
            <strike val="0"/>
            <sz val="14"/>
          </font>
        </dxf>
        <dxf>
          <font>
            <b/>
            <i val="0"/>
            <color theme="0"/>
            <name val="Times New Roman"/>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1"/>
          </x14:slicerStyleElements>
        </x14:slicerStyle>
        <x14:slicerStyle name="Slicer Style 2"/>
        <x14:slicerStyle name="Slicer Style 3"/>
        <x14:slicerStyle name="Slicer Style 4"/>
        <x14:slicerStyle name="Slicer Style 5">
          <x14:slicerStyleElements>
            <x14:slicerStyleElement type="selectedItemWithNo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Tables'!$B$122:$B$123</c:f>
              <c:strCache>
                <c:ptCount val="1"/>
                <c:pt idx="0">
                  <c:v>2023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Tables'!$A$124:$A$126</c:f>
              <c:strCache>
                <c:ptCount val="2"/>
                <c:pt idx="0">
                  <c:v>Female</c:v>
                </c:pt>
                <c:pt idx="1">
                  <c:v>Male</c:v>
                </c:pt>
              </c:strCache>
            </c:strRef>
          </c:cat>
          <c:val>
            <c:numRef>
              <c:f>'Pivot Tables'!$B$124:$B$126</c:f>
              <c:numCache>
                <c:formatCode>General</c:formatCode>
                <c:ptCount val="2"/>
                <c:pt idx="0">
                  <c:v>235</c:v>
                </c:pt>
                <c:pt idx="1">
                  <c:v>244</c:v>
                </c:pt>
              </c:numCache>
            </c:numRef>
          </c:val>
          <c:extLst>
            <c:ext xmlns:c16="http://schemas.microsoft.com/office/drawing/2014/chart" uri="{C3380CC4-5D6E-409C-BE32-E72D297353CC}">
              <c16:uniqueId val="{00000002-3EE8-46FA-BDB4-0FAFAFDE4F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58879178564133E-4"/>
          <c:y val="0.14542194285198015"/>
          <c:w val="0.99879928470479651"/>
          <c:h val="0.75705148207233319"/>
        </c:manualLayout>
      </c:layout>
      <c:barChart>
        <c:barDir val="col"/>
        <c:grouping val="clustered"/>
        <c:varyColors val="0"/>
        <c:ser>
          <c:idx val="0"/>
          <c:order val="0"/>
          <c:tx>
            <c:strRef>
              <c:f>'Pivot Tables'!$B$109:$B$110</c:f>
              <c:strCache>
                <c:ptCount val="1"/>
                <c:pt idx="0">
                  <c:v>2023</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Tables'!$A$111:$A$119</c:f>
              <c:strCache>
                <c:ptCount val="8"/>
                <c:pt idx="0">
                  <c:v>0-9</c:v>
                </c:pt>
                <c:pt idx="1">
                  <c:v>10-19</c:v>
                </c:pt>
                <c:pt idx="2">
                  <c:v>20-29</c:v>
                </c:pt>
                <c:pt idx="3">
                  <c:v>30-39</c:v>
                </c:pt>
                <c:pt idx="4">
                  <c:v>40-49</c:v>
                </c:pt>
                <c:pt idx="5">
                  <c:v>50-59</c:v>
                </c:pt>
                <c:pt idx="6">
                  <c:v>60-69</c:v>
                </c:pt>
                <c:pt idx="7">
                  <c:v>70-79</c:v>
                </c:pt>
              </c:strCache>
            </c:strRef>
          </c:cat>
          <c:val>
            <c:numRef>
              <c:f>'Pivot Tables'!$B$111:$B$119</c:f>
              <c:numCache>
                <c:formatCode>General</c:formatCode>
                <c:ptCount val="8"/>
                <c:pt idx="0">
                  <c:v>58</c:v>
                </c:pt>
                <c:pt idx="1">
                  <c:v>75</c:v>
                </c:pt>
                <c:pt idx="2">
                  <c:v>61</c:v>
                </c:pt>
                <c:pt idx="3">
                  <c:v>60</c:v>
                </c:pt>
                <c:pt idx="4">
                  <c:v>43</c:v>
                </c:pt>
                <c:pt idx="5">
                  <c:v>54</c:v>
                </c:pt>
                <c:pt idx="6">
                  <c:v>66</c:v>
                </c:pt>
                <c:pt idx="7">
                  <c:v>62</c:v>
                </c:pt>
              </c:numCache>
            </c:numRef>
          </c:val>
          <c:extLst>
            <c:ext xmlns:c16="http://schemas.microsoft.com/office/drawing/2014/chart" uri="{C3380CC4-5D6E-409C-BE32-E72D297353CC}">
              <c16:uniqueId val="{00000004-03ED-43EF-825D-E181C14231A7}"/>
            </c:ext>
          </c:extLst>
        </c:ser>
        <c:ser>
          <c:idx val="1"/>
          <c:order val="1"/>
          <c:tx>
            <c:strRef>
              <c:f>'Pivot Tables'!$C$109:$C$110</c:f>
              <c:strCache>
                <c:ptCount val="1"/>
                <c:pt idx="0">
                  <c:v>2024</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Tables'!$A$111:$A$119</c:f>
              <c:strCache>
                <c:ptCount val="8"/>
                <c:pt idx="0">
                  <c:v>0-9</c:v>
                </c:pt>
                <c:pt idx="1">
                  <c:v>10-19</c:v>
                </c:pt>
                <c:pt idx="2">
                  <c:v>20-29</c:v>
                </c:pt>
                <c:pt idx="3">
                  <c:v>30-39</c:v>
                </c:pt>
                <c:pt idx="4">
                  <c:v>40-49</c:v>
                </c:pt>
                <c:pt idx="5">
                  <c:v>50-59</c:v>
                </c:pt>
                <c:pt idx="6">
                  <c:v>60-69</c:v>
                </c:pt>
                <c:pt idx="7">
                  <c:v>70-79</c:v>
                </c:pt>
              </c:strCache>
            </c:strRef>
          </c:cat>
          <c:val>
            <c:numRef>
              <c:f>'Pivot Tables'!$C$111:$C$119</c:f>
              <c:numCache>
                <c:formatCode>General</c:formatCode>
                <c:ptCount val="8"/>
                <c:pt idx="0">
                  <c:v>50</c:v>
                </c:pt>
                <c:pt idx="1">
                  <c:v>58</c:v>
                </c:pt>
                <c:pt idx="2">
                  <c:v>71</c:v>
                </c:pt>
                <c:pt idx="3">
                  <c:v>63</c:v>
                </c:pt>
                <c:pt idx="4">
                  <c:v>54</c:v>
                </c:pt>
                <c:pt idx="5">
                  <c:v>59</c:v>
                </c:pt>
                <c:pt idx="6">
                  <c:v>51</c:v>
                </c:pt>
                <c:pt idx="7">
                  <c:v>63</c:v>
                </c:pt>
              </c:numCache>
            </c:numRef>
          </c:val>
          <c:extLst>
            <c:ext xmlns:c16="http://schemas.microsoft.com/office/drawing/2014/chart" uri="{C3380CC4-5D6E-409C-BE32-E72D297353CC}">
              <c16:uniqueId val="{00000002-735D-40A8-87F1-5A26351D2B40}"/>
            </c:ext>
          </c:extLst>
        </c:ser>
        <c:dLbls>
          <c:showLegendKey val="0"/>
          <c:showVal val="0"/>
          <c:showCatName val="0"/>
          <c:showSerName val="0"/>
          <c:showPercent val="0"/>
          <c:showBubbleSize val="0"/>
        </c:dLbls>
        <c:gapWidth val="219"/>
        <c:overlap val="-27"/>
        <c:axId val="531303504"/>
        <c:axId val="531303984"/>
      </c:barChart>
      <c:catAx>
        <c:axId val="5313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1303984"/>
        <c:crosses val="autoZero"/>
        <c:auto val="1"/>
        <c:lblAlgn val="ctr"/>
        <c:lblOffset val="100"/>
        <c:noMultiLvlLbl val="0"/>
      </c:catAx>
      <c:valAx>
        <c:axId val="531303984"/>
        <c:scaling>
          <c:orientation val="minMax"/>
        </c:scaling>
        <c:delete val="1"/>
        <c:axPos val="l"/>
        <c:numFmt formatCode="General" sourceLinked="1"/>
        <c:majorTickMark val="none"/>
        <c:minorTickMark val="none"/>
        <c:tickLblPos val="nextTo"/>
        <c:crossAx val="531303504"/>
        <c:crosses val="autoZero"/>
        <c:crossBetween val="between"/>
      </c:valAx>
      <c:spPr>
        <a:noFill/>
        <a:ln>
          <a:noFill/>
        </a:ln>
        <a:effectLst/>
      </c:spPr>
    </c:plotArea>
    <c:legend>
      <c:legendPos val="r"/>
      <c:layout>
        <c:manualLayout>
          <c:xMode val="edge"/>
          <c:yMode val="edge"/>
          <c:x val="0.75777825848691993"/>
          <c:y val="1.5789865541452261E-3"/>
          <c:w val="0.23797986790112777"/>
          <c:h val="0.168556291811773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1.8165299072339658E-2"/>
              <c:y val="-3.2128500509755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3.269753833021135E-2"/>
              <c:y val="-2.1419000339836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1.4532239257871692E-2"/>
              <c:y val="-4.2838000679673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dLbl>
          <c:idx val="0"/>
          <c:layout>
            <c:manualLayout>
              <c:x val="1.4532239257871758E-2"/>
              <c:y val="-3.2128500509755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2.179835888680752E-2"/>
              <c:y val="-3.21285005097554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2.5431418701275486E-2"/>
              <c:y val="-1.0709500169918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5.0862837402551035E-2"/>
              <c:y val="-3.21285005097552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1.8165299072339523E-2"/>
              <c:y val="-4.81927507646330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81684343743528"/>
          <c:y val="9.7974217932425584E-2"/>
          <c:w val="0.79418315656256477"/>
          <c:h val="0.8382300484963271"/>
        </c:manualLayout>
      </c:layout>
      <c:barChart>
        <c:barDir val="bar"/>
        <c:grouping val="clustered"/>
        <c:varyColors val="0"/>
        <c:ser>
          <c:idx val="0"/>
          <c:order val="0"/>
          <c:tx>
            <c:strRef>
              <c:f>'Pivot Tables'!$B$90:$B$91</c:f>
              <c:strCache>
                <c:ptCount val="1"/>
                <c:pt idx="0">
                  <c:v>2023</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Tables'!$A$92:$A$100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Tables'!$B$92:$B$100</c:f>
              <c:numCache>
                <c:formatCode>General</c:formatCode>
                <c:ptCount val="8"/>
                <c:pt idx="0">
                  <c:v>18</c:v>
                </c:pt>
                <c:pt idx="1">
                  <c:v>12</c:v>
                </c:pt>
                <c:pt idx="2">
                  <c:v>115</c:v>
                </c:pt>
                <c:pt idx="3">
                  <c:v>11</c:v>
                </c:pt>
                <c:pt idx="4">
                  <c:v>263</c:v>
                </c:pt>
                <c:pt idx="5">
                  <c:v>45</c:v>
                </c:pt>
                <c:pt idx="6">
                  <c:v>11</c:v>
                </c:pt>
                <c:pt idx="7">
                  <c:v>4</c:v>
                </c:pt>
              </c:numCache>
            </c:numRef>
          </c:val>
          <c:extLst>
            <c:ext xmlns:c16="http://schemas.microsoft.com/office/drawing/2014/chart" uri="{C3380CC4-5D6E-409C-BE32-E72D297353CC}">
              <c16:uniqueId val="{00000000-5E30-401F-B3AA-9467B7CB3D8B}"/>
            </c:ext>
          </c:extLst>
        </c:ser>
        <c:ser>
          <c:idx val="1"/>
          <c:order val="1"/>
          <c:tx>
            <c:strRef>
              <c:f>'Pivot Tables'!$C$90:$C$91</c:f>
              <c:strCache>
                <c:ptCount val="1"/>
                <c:pt idx="0">
                  <c:v>2024</c:v>
                </c:pt>
              </c:strCache>
            </c:strRef>
          </c:tx>
          <c:spPr>
            <a:solidFill>
              <a:srgbClr val="002060"/>
            </a:solidFill>
            <a:ln>
              <a:noFill/>
            </a:ln>
            <a:effectLst/>
          </c:spPr>
          <c:invertIfNegative val="0"/>
          <c:dLbls>
            <c:dLbl>
              <c:idx val="0"/>
              <c:layout>
                <c:manualLayout>
                  <c:x val="5.0862837402551035E-2"/>
                  <c:y val="-3.212850050975524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5431418701275486E-2"/>
                  <c:y val="-1.070950016991844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179835888680752E-2"/>
                  <c:y val="-3.212850050975544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1.4532239257871758E-2"/>
                  <c:y val="-3.212850050975533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1.8165299072339523E-2"/>
                  <c:y val="-4.8192750764633065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1.8165299072339658E-2"/>
                  <c:y val="-3.212850050975533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3.269753833021135E-2"/>
                  <c:y val="-2.14190003398369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7"/>
              <c:layout>
                <c:manualLayout>
                  <c:x val="1.4532239257871692E-2"/>
                  <c:y val="-4.2838000679673797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Tables'!$A$92:$A$100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Tables'!$C$92:$C$100</c:f>
              <c:numCache>
                <c:formatCode>General</c:formatCode>
                <c:ptCount val="8"/>
                <c:pt idx="0">
                  <c:v>13</c:v>
                </c:pt>
                <c:pt idx="1">
                  <c:v>8</c:v>
                </c:pt>
                <c:pt idx="2">
                  <c:v>92</c:v>
                </c:pt>
                <c:pt idx="3">
                  <c:v>10</c:v>
                </c:pt>
                <c:pt idx="4">
                  <c:v>284</c:v>
                </c:pt>
                <c:pt idx="5">
                  <c:v>44</c:v>
                </c:pt>
                <c:pt idx="6">
                  <c:v>15</c:v>
                </c:pt>
                <c:pt idx="7">
                  <c:v>3</c:v>
                </c:pt>
              </c:numCache>
            </c:numRef>
          </c:val>
          <c:extLst>
            <c:ext xmlns:c16="http://schemas.microsoft.com/office/drawing/2014/chart" uri="{C3380CC4-5D6E-409C-BE32-E72D297353CC}">
              <c16:uniqueId val="{0000000A-7B62-4D6B-8C7B-D05B1B02EB0A}"/>
            </c:ext>
          </c:extLst>
        </c:ser>
        <c:dLbls>
          <c:dLblPos val="outEnd"/>
          <c:showLegendKey val="0"/>
          <c:showVal val="1"/>
          <c:showCatName val="0"/>
          <c:showSerName val="0"/>
          <c:showPercent val="0"/>
          <c:showBubbleSize val="0"/>
        </c:dLbls>
        <c:gapWidth val="182"/>
        <c:axId val="47040607"/>
        <c:axId val="47042527"/>
      </c:barChart>
      <c:catAx>
        <c:axId val="4704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7042527"/>
        <c:crosses val="autoZero"/>
        <c:auto val="1"/>
        <c:lblAlgn val="ctr"/>
        <c:lblOffset val="100"/>
        <c:noMultiLvlLbl val="0"/>
      </c:catAx>
      <c:valAx>
        <c:axId val="47042527"/>
        <c:scaling>
          <c:orientation val="minMax"/>
        </c:scaling>
        <c:delete val="1"/>
        <c:axPos val="b"/>
        <c:numFmt formatCode="General" sourceLinked="1"/>
        <c:majorTickMark val="none"/>
        <c:minorTickMark val="none"/>
        <c:tickLblPos val="nextTo"/>
        <c:crossAx val="47040607"/>
        <c:crosses val="autoZero"/>
        <c:crossBetween val="between"/>
      </c:valAx>
      <c:spPr>
        <a:noFill/>
        <a:ln>
          <a:noFill/>
        </a:ln>
        <a:effectLst/>
      </c:spPr>
    </c:plotArea>
    <c:legend>
      <c:legendPos val="r"/>
      <c:layout>
        <c:manualLayout>
          <c:xMode val="edge"/>
          <c:yMode val="edge"/>
          <c:x val="0.7270608031179091"/>
          <c:y val="2.6769534086146535E-3"/>
          <c:w val="0.26146587956092043"/>
          <c:h val="0.169910014900540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8"/>
  </c:pivotSource>
  <c:chart>
    <c:title>
      <c:tx>
        <c:rich>
          <a:bodyPr/>
          <a:lstStyle/>
          <a:p>
            <a:pPr>
              <a:defRPr/>
            </a:pPr>
            <a:r>
              <a:rPr lang="en-US" sz="1400">
                <a:solidFill>
                  <a:schemeClr val="tx1"/>
                </a:solidFill>
                <a:latin typeface="Times New Roman" panose="02020603050405020304" pitchFamily="18" charset="0"/>
                <a:cs typeface="Times New Roman" panose="02020603050405020304" pitchFamily="18" charset="0"/>
              </a:rPr>
              <a:t>2023</a:t>
            </a:r>
          </a:p>
        </c:rich>
      </c:tx>
      <c:layout>
        <c:manualLayout>
          <c:xMode val="edge"/>
          <c:yMode val="edge"/>
          <c:x val="0.40896899935700809"/>
          <c:y val="0"/>
        </c:manualLayout>
      </c:layout>
      <c:overlay val="0"/>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206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3.7346235335041934E-3"/>
              <c:y val="-0.163886469491899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B0F0"/>
          </a:solidFill>
          <a:ln w="19050">
            <a:solidFill>
              <a:schemeClr val="lt1"/>
            </a:solidFill>
          </a:ln>
          <a:effectLst/>
        </c:spPr>
        <c:dLbl>
          <c:idx val="0"/>
          <c:layout>
            <c:manualLayout>
              <c:x val="-3.3331435980141044E-2"/>
              <c:y val="-0.26565947269093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01027732979163"/>
          <c:y val="0.12419074780687114"/>
          <c:w val="0.63306622816726232"/>
          <c:h val="0.7652107304687561"/>
        </c:manualLayout>
      </c:layout>
      <c:pieChart>
        <c:varyColors val="1"/>
        <c:ser>
          <c:idx val="0"/>
          <c:order val="0"/>
          <c:tx>
            <c:strRef>
              <c:f>'Pivot Tables'!$B$122:$B$123</c:f>
              <c:strCache>
                <c:ptCount val="1"/>
                <c:pt idx="0">
                  <c:v>2023</c:v>
                </c:pt>
              </c:strCache>
            </c:strRef>
          </c:tx>
          <c:spPr>
            <a:solidFill>
              <a:srgbClr val="002060"/>
            </a:solidFill>
          </c:spPr>
          <c:dPt>
            <c:idx val="0"/>
            <c:bubble3D val="0"/>
            <c:spPr>
              <a:solidFill>
                <a:srgbClr val="002060"/>
              </a:solidFill>
              <a:ln w="19050">
                <a:solidFill>
                  <a:schemeClr val="lt1"/>
                </a:solidFill>
              </a:ln>
              <a:effectLst/>
            </c:spPr>
          </c:dPt>
          <c:dPt>
            <c:idx val="1"/>
            <c:bubble3D val="0"/>
            <c:spPr>
              <a:solidFill>
                <a:srgbClr val="00B0F0"/>
              </a:solidFill>
              <a:ln w="19050">
                <a:solidFill>
                  <a:schemeClr val="lt1"/>
                </a:solidFill>
              </a:ln>
              <a:effectLst/>
            </c:spPr>
          </c:dPt>
          <c:dLbls>
            <c:dLbl>
              <c:idx val="0"/>
              <c:layout>
                <c:manualLayout>
                  <c:x val="-3.7346235335041934E-3"/>
                  <c:y val="-0.163886469491899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dLbl>
              <c:idx val="1"/>
              <c:layout>
                <c:manualLayout>
                  <c:x val="-3.3331435980141044E-2"/>
                  <c:y val="-0.26565947269093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Tables'!$A$124:$A$126</c:f>
              <c:strCache>
                <c:ptCount val="2"/>
                <c:pt idx="0">
                  <c:v>Female</c:v>
                </c:pt>
                <c:pt idx="1">
                  <c:v>Male</c:v>
                </c:pt>
              </c:strCache>
            </c:strRef>
          </c:cat>
          <c:val>
            <c:numRef>
              <c:f>'Pivot Tables'!$B$124:$B$126</c:f>
              <c:numCache>
                <c:formatCode>General</c:formatCode>
                <c:ptCount val="2"/>
                <c:pt idx="0">
                  <c:v>235</c:v>
                </c:pt>
                <c:pt idx="1">
                  <c:v>244</c:v>
                </c:pt>
              </c:numCache>
            </c:numRef>
          </c:val>
          <c:extLst>
            <c:ext xmlns:c16="http://schemas.microsoft.com/office/drawing/2014/chart" uri="{C3380CC4-5D6E-409C-BE32-E72D297353CC}">
              <c16:uniqueId val="{00000006-7D09-4628-B2FE-43B4E7D4E346}"/>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9.5295196534168167E-2"/>
          <c:y val="0.90572540033870996"/>
          <c:w val="0.82438351832526957"/>
          <c:h val="9.427459966129007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2024</a:t>
            </a:r>
          </a:p>
        </c:rich>
      </c:tx>
      <c:layout>
        <c:manualLayout>
          <c:xMode val="edge"/>
          <c:yMode val="edge"/>
          <c:x val="0.412956989247311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31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w="3175">
            <a:solidFill>
              <a:schemeClr val="lt1"/>
            </a:solidFill>
          </a:ln>
          <a:effectLst/>
        </c:spPr>
        <c:dLbl>
          <c:idx val="0"/>
          <c:layout>
            <c:manualLayout>
              <c:x val="-3.5013970027941042E-3"/>
              <c:y val="-0.173077365329333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F0"/>
          </a:solidFill>
          <a:ln w="3175">
            <a:solidFill>
              <a:schemeClr val="lt1"/>
            </a:solidFill>
          </a:ln>
          <a:effectLst/>
        </c:spPr>
        <c:dLbl>
          <c:idx val="0"/>
          <c:layout>
            <c:manualLayout>
              <c:x val="-5.3885784438235544E-2"/>
              <c:y val="-0.156223472065991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15383964101261"/>
          <c:y val="0.11666641669791278"/>
          <c:w val="0.6336025738718144"/>
          <c:h val="0.74825446819147612"/>
        </c:manualLayout>
      </c:layout>
      <c:pieChart>
        <c:varyColors val="1"/>
        <c:ser>
          <c:idx val="0"/>
          <c:order val="0"/>
          <c:tx>
            <c:strRef>
              <c:f>'Pivot Tables'!$B$129:$B$130</c:f>
              <c:strCache>
                <c:ptCount val="1"/>
                <c:pt idx="0">
                  <c:v>2024</c:v>
                </c:pt>
              </c:strCache>
            </c:strRef>
          </c:tx>
          <c:spPr>
            <a:ln w="3175"/>
          </c:spPr>
          <c:dPt>
            <c:idx val="0"/>
            <c:bubble3D val="0"/>
            <c:spPr>
              <a:solidFill>
                <a:srgbClr val="002060"/>
              </a:solidFill>
              <a:ln w="3175">
                <a:solidFill>
                  <a:schemeClr val="lt1"/>
                </a:solidFill>
              </a:ln>
              <a:effectLst/>
            </c:spPr>
          </c:dPt>
          <c:dPt>
            <c:idx val="1"/>
            <c:bubble3D val="0"/>
            <c:spPr>
              <a:solidFill>
                <a:srgbClr val="00B0F0"/>
              </a:solidFill>
              <a:ln w="3175">
                <a:solidFill>
                  <a:schemeClr val="lt1"/>
                </a:solidFill>
              </a:ln>
              <a:effectLst/>
            </c:spPr>
          </c:dPt>
          <c:dLbls>
            <c:dLbl>
              <c:idx val="0"/>
              <c:layout>
                <c:manualLayout>
                  <c:x val="-3.5013970027941042E-3"/>
                  <c:y val="-0.173077365329333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dLbl>
              <c:idx val="1"/>
              <c:layout>
                <c:manualLayout>
                  <c:x val="-5.3885784438235544E-2"/>
                  <c:y val="-0.156223472065991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Tables'!$A$131:$A$133</c:f>
              <c:strCache>
                <c:ptCount val="2"/>
                <c:pt idx="0">
                  <c:v>Female</c:v>
                </c:pt>
                <c:pt idx="1">
                  <c:v>Male</c:v>
                </c:pt>
              </c:strCache>
            </c:strRef>
          </c:cat>
          <c:val>
            <c:numRef>
              <c:f>'Pivot Tables'!$B$131:$B$133</c:f>
              <c:numCache>
                <c:formatCode>General</c:formatCode>
                <c:ptCount val="2"/>
                <c:pt idx="0">
                  <c:v>241</c:v>
                </c:pt>
                <c:pt idx="1">
                  <c:v>228</c:v>
                </c:pt>
              </c:numCache>
            </c:numRef>
          </c:val>
          <c:extLst>
            <c:ext xmlns:c16="http://schemas.microsoft.com/office/drawing/2014/chart" uri="{C3380CC4-5D6E-409C-BE32-E72D297353CC}">
              <c16:uniqueId val="{00000004-DE62-410E-A3A8-C8B8E5F0519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5819024638049275"/>
          <c:y val="0.87914760654918134"/>
          <c:w val="0.69329904326475322"/>
          <c:h val="0.120852393450818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Tables!PivotTable9</c:name>
    <c:fmtId val="1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8477963527327031E-2"/>
          <c:w val="1"/>
          <c:h val="0.79643765903307884"/>
        </c:manualLayout>
      </c:layout>
      <c:areaChart>
        <c:grouping val="standard"/>
        <c:varyColors val="0"/>
        <c:ser>
          <c:idx val="0"/>
          <c:order val="0"/>
          <c:tx>
            <c:strRef>
              <c:f>'Pivot Tables'!$H$5</c:f>
              <c:strCache>
                <c:ptCount val="1"/>
                <c:pt idx="0">
                  <c:v>Total</c:v>
                </c:pt>
              </c:strCache>
            </c:strRef>
          </c:tx>
          <c:spPr>
            <a:solidFill>
              <a:srgbClr val="002060"/>
            </a:solidFill>
            <a:ln w="25400">
              <a:noFill/>
            </a:ln>
            <a:effectLst/>
          </c:spPr>
          <c:cat>
            <c:strRef>
              <c:f>'Pivot Tables'!$G$6:$G$36</c:f>
              <c:strCache>
                <c:ptCount val="3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strCache>
            </c:strRef>
          </c:cat>
          <c:val>
            <c:numRef>
              <c:f>'Pivot Tables'!$H$6:$H$36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CF5F-4744-9DAC-BB0EC4E45BD0}"/>
            </c:ext>
          </c:extLst>
        </c:ser>
        <c:dLbls>
          <c:showLegendKey val="0"/>
          <c:showVal val="0"/>
          <c:showCatName val="0"/>
          <c:showSerName val="0"/>
          <c:showPercent val="0"/>
          <c:showBubbleSize val="0"/>
        </c:dLbls>
        <c:axId val="406175247"/>
        <c:axId val="406175727"/>
      </c:areaChart>
      <c:catAx>
        <c:axId val="406175247"/>
        <c:scaling>
          <c:orientation val="minMax"/>
        </c:scaling>
        <c:delete val="1"/>
        <c:axPos val="b"/>
        <c:numFmt formatCode="General" sourceLinked="1"/>
        <c:majorTickMark val="out"/>
        <c:minorTickMark val="none"/>
        <c:tickLblPos val="nextTo"/>
        <c:crossAx val="406175727"/>
        <c:crosses val="autoZero"/>
        <c:auto val="1"/>
        <c:lblAlgn val="ctr"/>
        <c:lblOffset val="100"/>
        <c:noMultiLvlLbl val="0"/>
      </c:catAx>
      <c:valAx>
        <c:axId val="406175727"/>
        <c:scaling>
          <c:orientation val="minMax"/>
        </c:scaling>
        <c:delete val="1"/>
        <c:axPos val="l"/>
        <c:numFmt formatCode="General" sourceLinked="1"/>
        <c:majorTickMark val="none"/>
        <c:minorTickMark val="none"/>
        <c:tickLblPos val="nextTo"/>
        <c:crossAx val="406175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Tables'!$K$5</c:f>
              <c:strCache>
                <c:ptCount val="1"/>
                <c:pt idx="0">
                  <c:v>Total</c:v>
                </c:pt>
              </c:strCache>
            </c:strRef>
          </c:tx>
          <c:spPr>
            <a:solidFill>
              <a:srgbClr val="002060"/>
            </a:solidFill>
            <a:ln w="25400">
              <a:noFill/>
            </a:ln>
            <a:effectLst/>
          </c:spPr>
          <c:cat>
            <c:strRef>
              <c:f>'Pivot Tables'!$J$6:$J$36</c:f>
              <c:strCache>
                <c:ptCount val="30"/>
                <c:pt idx="0">
                  <c:v>01-04-2024</c:v>
                </c:pt>
                <c:pt idx="1">
                  <c:v>02-04-2024</c:v>
                </c:pt>
                <c:pt idx="2">
                  <c:v>03-04-2024</c:v>
                </c:pt>
                <c:pt idx="3">
                  <c:v>04-04-2024</c:v>
                </c:pt>
                <c:pt idx="4">
                  <c:v>05-04-2024</c:v>
                </c:pt>
                <c:pt idx="5">
                  <c:v>06-04-2024</c:v>
                </c:pt>
                <c:pt idx="6">
                  <c:v>07-04-2024</c:v>
                </c:pt>
                <c:pt idx="7">
                  <c:v>08-04-2024</c:v>
                </c:pt>
                <c:pt idx="8">
                  <c:v>09-04-2024</c:v>
                </c:pt>
                <c:pt idx="9">
                  <c:v>10-04-2024</c:v>
                </c:pt>
                <c:pt idx="10">
                  <c:v>11-04-2024</c:v>
                </c:pt>
                <c:pt idx="11">
                  <c:v>12-04-2024</c:v>
                </c:pt>
                <c:pt idx="12">
                  <c:v>13-04-2024</c:v>
                </c:pt>
                <c:pt idx="13">
                  <c:v>14-04-2024</c:v>
                </c:pt>
                <c:pt idx="14">
                  <c:v>15-04-2024</c:v>
                </c:pt>
                <c:pt idx="15">
                  <c:v>16-04-2024</c:v>
                </c:pt>
                <c:pt idx="16">
                  <c:v>17-04-2024</c:v>
                </c:pt>
                <c:pt idx="17">
                  <c:v>18-04-2024</c:v>
                </c:pt>
                <c:pt idx="18">
                  <c:v>19-04-2024</c:v>
                </c:pt>
                <c:pt idx="19">
                  <c:v>20-04-2024</c:v>
                </c:pt>
                <c:pt idx="20">
                  <c:v>21-04-2024</c:v>
                </c:pt>
                <c:pt idx="21">
                  <c:v>22-04-2024</c:v>
                </c:pt>
                <c:pt idx="22">
                  <c:v>23-04-2024</c:v>
                </c:pt>
                <c:pt idx="23">
                  <c:v>24-04-2024</c:v>
                </c:pt>
                <c:pt idx="24">
                  <c:v>25-04-2024</c:v>
                </c:pt>
                <c:pt idx="25">
                  <c:v>26-04-2024</c:v>
                </c:pt>
                <c:pt idx="26">
                  <c:v>27-04-2024</c:v>
                </c:pt>
                <c:pt idx="27">
                  <c:v>28-04-2024</c:v>
                </c:pt>
                <c:pt idx="28">
                  <c:v>29-04-2024</c:v>
                </c:pt>
                <c:pt idx="29">
                  <c:v>30-04-2024</c:v>
                </c:pt>
              </c:strCache>
            </c:strRef>
          </c:cat>
          <c:val>
            <c:numRef>
              <c:f>'Pivot Tables'!$K$6:$K$36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0C7F-4F70-8A3A-8108E918CACC}"/>
            </c:ext>
          </c:extLst>
        </c:ser>
        <c:dLbls>
          <c:showLegendKey val="0"/>
          <c:showVal val="0"/>
          <c:showCatName val="0"/>
          <c:showSerName val="0"/>
          <c:showPercent val="0"/>
          <c:showBubbleSize val="0"/>
        </c:dLbls>
        <c:axId val="406201167"/>
        <c:axId val="406208367"/>
      </c:areaChart>
      <c:catAx>
        <c:axId val="406201167"/>
        <c:scaling>
          <c:orientation val="minMax"/>
        </c:scaling>
        <c:delete val="1"/>
        <c:axPos val="b"/>
        <c:numFmt formatCode="General" sourceLinked="1"/>
        <c:majorTickMark val="out"/>
        <c:minorTickMark val="none"/>
        <c:tickLblPos val="nextTo"/>
        <c:crossAx val="406208367"/>
        <c:crosses val="autoZero"/>
        <c:auto val="1"/>
        <c:lblAlgn val="ctr"/>
        <c:lblOffset val="100"/>
        <c:noMultiLvlLbl val="0"/>
      </c:catAx>
      <c:valAx>
        <c:axId val="406208367"/>
        <c:scaling>
          <c:orientation val="minMax"/>
        </c:scaling>
        <c:delete val="1"/>
        <c:axPos val="l"/>
        <c:numFmt formatCode="General" sourceLinked="1"/>
        <c:majorTickMark val="none"/>
        <c:minorTickMark val="none"/>
        <c:tickLblPos val="nextTo"/>
        <c:crossAx val="4062011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5</xdr:col>
      <xdr:colOff>161925</xdr:colOff>
      <xdr:row>117</xdr:row>
      <xdr:rowOff>157162</xdr:rowOff>
    </xdr:from>
    <xdr:to>
      <xdr:col>10</xdr:col>
      <xdr:colOff>514350</xdr:colOff>
      <xdr:row>132</xdr:row>
      <xdr:rowOff>42862</xdr:rowOff>
    </xdr:to>
    <xdr:graphicFrame macro="">
      <xdr:nvGraphicFramePr>
        <xdr:cNvPr id="2" name="Chart 1">
          <a:extLst>
            <a:ext uri="{FF2B5EF4-FFF2-40B4-BE49-F238E27FC236}">
              <a16:creationId xmlns:a16="http://schemas.microsoft.com/office/drawing/2014/main" id="{00FB8AA9-3FC3-90A4-9B3C-985288281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66675</xdr:colOff>
      <xdr:row>6</xdr:row>
      <xdr:rowOff>28575</xdr:rowOff>
    </xdr:from>
    <xdr:ext cx="184731" cy="264560"/>
    <xdr:sp macro="" textlink="">
      <xdr:nvSpPr>
        <xdr:cNvPr id="4" name="TextBox 3">
          <a:extLst>
            <a:ext uri="{FF2B5EF4-FFF2-40B4-BE49-F238E27FC236}">
              <a16:creationId xmlns:a16="http://schemas.microsoft.com/office/drawing/2014/main" id="{DE98EC45-2485-2F0A-8950-9360415E28B6}"/>
            </a:ext>
          </a:extLst>
        </xdr:cNvPr>
        <xdr:cNvSpPr txBox="1"/>
      </xdr:nvSpPr>
      <xdr:spPr>
        <a:xfrm>
          <a:off x="6772275" y="117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47624</xdr:colOff>
      <xdr:row>0</xdr:row>
      <xdr:rowOff>66673</xdr:rowOff>
    </xdr:from>
    <xdr:to>
      <xdr:col>1</xdr:col>
      <xdr:colOff>554024</xdr:colOff>
      <xdr:row>21</xdr:row>
      <xdr:rowOff>98173</xdr:rowOff>
    </xdr:to>
    <mc:AlternateContent xmlns:mc="http://schemas.openxmlformats.org/markup-compatibility/2006">
      <mc:Choice xmlns:a14="http://schemas.microsoft.com/office/drawing/2010/main" Requires="a14">
        <xdr:graphicFrame macro="">
          <xdr:nvGraphicFramePr>
            <xdr:cNvPr id="10" name="Date (Month)">
              <a:extLst>
                <a:ext uri="{FF2B5EF4-FFF2-40B4-BE49-F238E27FC236}">
                  <a16:creationId xmlns:a16="http://schemas.microsoft.com/office/drawing/2014/main" id="{F9066CDA-E97F-4DA6-8131-AC8D0029BF9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7624" y="66673"/>
              <a:ext cx="1116000" cy="4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19051</xdr:colOff>
      <xdr:row>12</xdr:row>
      <xdr:rowOff>161926</xdr:rowOff>
    </xdr:from>
    <xdr:to>
      <xdr:col>4</xdr:col>
      <xdr:colOff>533401</xdr:colOff>
      <xdr:row>21</xdr:row>
      <xdr:rowOff>66676</xdr:rowOff>
    </xdr:to>
    <xdr:sp macro="" textlink="">
      <xdr:nvSpPr>
        <xdr:cNvPr id="7" name="Rectangle 6">
          <a:extLst>
            <a:ext uri="{FF2B5EF4-FFF2-40B4-BE49-F238E27FC236}">
              <a16:creationId xmlns:a16="http://schemas.microsoft.com/office/drawing/2014/main" id="{027A6EA1-A938-CF8D-7043-9D164874D0DB}"/>
            </a:ext>
          </a:extLst>
        </xdr:cNvPr>
        <xdr:cNvSpPr/>
      </xdr:nvSpPr>
      <xdr:spPr>
        <a:xfrm>
          <a:off x="1238251" y="2447926"/>
          <a:ext cx="1733550" cy="161925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19051</xdr:colOff>
      <xdr:row>4</xdr:row>
      <xdr:rowOff>85725</xdr:rowOff>
    </xdr:from>
    <xdr:to>
      <xdr:col>4</xdr:col>
      <xdr:colOff>533401</xdr:colOff>
      <xdr:row>12</xdr:row>
      <xdr:rowOff>85724</xdr:rowOff>
    </xdr:to>
    <xdr:sp macro="" textlink="">
      <xdr:nvSpPr>
        <xdr:cNvPr id="11" name="Rectangle 10">
          <a:extLst>
            <a:ext uri="{FF2B5EF4-FFF2-40B4-BE49-F238E27FC236}">
              <a16:creationId xmlns:a16="http://schemas.microsoft.com/office/drawing/2014/main" id="{497B66C8-444F-4ABD-BB46-426935F15249}"/>
            </a:ext>
          </a:extLst>
        </xdr:cNvPr>
        <xdr:cNvSpPr/>
      </xdr:nvSpPr>
      <xdr:spPr>
        <a:xfrm>
          <a:off x="1238251" y="847725"/>
          <a:ext cx="1733550" cy="1523999"/>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152400</xdr:colOff>
      <xdr:row>15</xdr:row>
      <xdr:rowOff>142876</xdr:rowOff>
    </xdr:from>
    <xdr:ext cx="1457324" cy="285749"/>
    <xdr:sp macro="" textlink="'Pivot Tables'!D4">
      <xdr:nvSpPr>
        <xdr:cNvPr id="13" name="TextBox 12">
          <a:extLst>
            <a:ext uri="{FF2B5EF4-FFF2-40B4-BE49-F238E27FC236}">
              <a16:creationId xmlns:a16="http://schemas.microsoft.com/office/drawing/2014/main" id="{4542703A-2EEE-4CCE-813E-A291659F7FED}"/>
            </a:ext>
          </a:extLst>
        </xdr:cNvPr>
        <xdr:cNvSpPr txBox="1"/>
      </xdr:nvSpPr>
      <xdr:spPr>
        <a:xfrm>
          <a:off x="1371600" y="3000376"/>
          <a:ext cx="1457324" cy="285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baseline="0">
              <a:latin typeface="Times New Roman" panose="02020603050405020304" pitchFamily="18" charset="0"/>
              <a:cs typeface="Times New Roman" panose="02020603050405020304" pitchFamily="18" charset="0"/>
            </a:rPr>
            <a:t>Year 2024</a:t>
          </a:r>
        </a:p>
      </xdr:txBody>
    </xdr:sp>
    <xdr:clientData/>
  </xdr:oneCellAnchor>
  <xdr:oneCellAnchor>
    <xdr:from>
      <xdr:col>2</xdr:col>
      <xdr:colOff>352425</xdr:colOff>
      <xdr:row>7</xdr:row>
      <xdr:rowOff>95250</xdr:rowOff>
    </xdr:from>
    <xdr:ext cx="1457324" cy="352425"/>
    <xdr:sp macro="" textlink="'Pivot Tables'!D4">
      <xdr:nvSpPr>
        <xdr:cNvPr id="14" name="TextBox 13">
          <a:extLst>
            <a:ext uri="{FF2B5EF4-FFF2-40B4-BE49-F238E27FC236}">
              <a16:creationId xmlns:a16="http://schemas.microsoft.com/office/drawing/2014/main" id="{49A8BE4C-0AA7-4EB3-9038-41950FFF3568}"/>
            </a:ext>
          </a:extLst>
        </xdr:cNvPr>
        <xdr:cNvSpPr txBox="1"/>
      </xdr:nvSpPr>
      <xdr:spPr>
        <a:xfrm>
          <a:off x="1571625" y="1428750"/>
          <a:ext cx="1457324"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latin typeface="Times New Roman" panose="02020603050405020304" pitchFamily="18" charset="0"/>
              <a:cs typeface="Times New Roman" panose="02020603050405020304" pitchFamily="18" charset="0"/>
            </a:rPr>
            <a:t>Year 2023</a:t>
          </a:r>
          <a:endParaRPr lang="en-IN" sz="1600" b="1" baseline="0">
            <a:latin typeface="Times New Roman" panose="02020603050405020304" pitchFamily="18" charset="0"/>
            <a:cs typeface="Times New Roman" panose="02020603050405020304" pitchFamily="18" charset="0"/>
          </a:endParaRPr>
        </a:p>
      </xdr:txBody>
    </xdr:sp>
    <xdr:clientData/>
  </xdr:oneCellAnchor>
  <xdr:twoCellAnchor editAs="oneCell">
    <xdr:from>
      <xdr:col>3</xdr:col>
      <xdr:colOff>57149</xdr:colOff>
      <xdr:row>12</xdr:row>
      <xdr:rowOff>180976</xdr:rowOff>
    </xdr:from>
    <xdr:to>
      <xdr:col>3</xdr:col>
      <xdr:colOff>581024</xdr:colOff>
      <xdr:row>14</xdr:row>
      <xdr:rowOff>114300</xdr:rowOff>
    </xdr:to>
    <xdr:pic>
      <xdr:nvPicPr>
        <xdr:cNvPr id="17" name="Graphic 16" descr="Sling with solid fill">
          <a:extLst>
            <a:ext uri="{FF2B5EF4-FFF2-40B4-BE49-F238E27FC236}">
              <a16:creationId xmlns:a16="http://schemas.microsoft.com/office/drawing/2014/main" id="{2C75BB61-D3F5-4239-8A42-841B5FE2E4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5949" y="2466976"/>
          <a:ext cx="523875" cy="314324"/>
        </a:xfrm>
        <a:prstGeom prst="rect">
          <a:avLst/>
        </a:prstGeom>
      </xdr:spPr>
    </xdr:pic>
    <xdr:clientData/>
  </xdr:twoCellAnchor>
  <xdr:twoCellAnchor>
    <xdr:from>
      <xdr:col>4</xdr:col>
      <xdr:colOff>590550</xdr:colOff>
      <xdr:row>8</xdr:row>
      <xdr:rowOff>161925</xdr:rowOff>
    </xdr:from>
    <xdr:to>
      <xdr:col>10</xdr:col>
      <xdr:colOff>400050</xdr:colOff>
      <xdr:row>21</xdr:row>
      <xdr:rowOff>76199</xdr:rowOff>
    </xdr:to>
    <xdr:graphicFrame macro="">
      <xdr:nvGraphicFramePr>
        <xdr:cNvPr id="18" name="Chart 17">
          <a:extLst>
            <a:ext uri="{FF2B5EF4-FFF2-40B4-BE49-F238E27FC236}">
              <a16:creationId xmlns:a16="http://schemas.microsoft.com/office/drawing/2014/main" id="{1F12DD73-1854-4A66-9DFA-D710CD0FB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476250</xdr:colOff>
      <xdr:row>8</xdr:row>
      <xdr:rowOff>171450</xdr:rowOff>
    </xdr:from>
    <xdr:to>
      <xdr:col>16</xdr:col>
      <xdr:colOff>314326</xdr:colOff>
      <xdr:row>21</xdr:row>
      <xdr:rowOff>66676</xdr:rowOff>
    </xdr:to>
    <xdr:graphicFrame macro="">
      <xdr:nvGraphicFramePr>
        <xdr:cNvPr id="21" name="Chart 20">
          <a:extLst>
            <a:ext uri="{FF2B5EF4-FFF2-40B4-BE49-F238E27FC236}">
              <a16:creationId xmlns:a16="http://schemas.microsoft.com/office/drawing/2014/main" id="{C2EB19B1-AEEF-4686-B21E-13E6514A0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371475</xdr:colOff>
      <xdr:row>0</xdr:row>
      <xdr:rowOff>47624</xdr:rowOff>
    </xdr:from>
    <xdr:to>
      <xdr:col>20</xdr:col>
      <xdr:colOff>304800</xdr:colOff>
      <xdr:row>10</xdr:row>
      <xdr:rowOff>104775</xdr:rowOff>
    </xdr:to>
    <xdr:graphicFrame macro="">
      <xdr:nvGraphicFramePr>
        <xdr:cNvPr id="23" name="Chart 22">
          <a:extLst>
            <a:ext uri="{FF2B5EF4-FFF2-40B4-BE49-F238E27FC236}">
              <a16:creationId xmlns:a16="http://schemas.microsoft.com/office/drawing/2014/main" id="{F89AEDE0-9235-4EF5-AD88-CCF6D2C24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600075</xdr:colOff>
      <xdr:row>4</xdr:row>
      <xdr:rowOff>95250</xdr:rowOff>
    </xdr:from>
    <xdr:to>
      <xdr:col>7</xdr:col>
      <xdr:colOff>476250</xdr:colOff>
      <xdr:row>8</xdr:row>
      <xdr:rowOff>104775</xdr:rowOff>
    </xdr:to>
    <xdr:sp macro="" textlink="">
      <xdr:nvSpPr>
        <xdr:cNvPr id="24" name="Rectangle 23">
          <a:extLst>
            <a:ext uri="{FF2B5EF4-FFF2-40B4-BE49-F238E27FC236}">
              <a16:creationId xmlns:a16="http://schemas.microsoft.com/office/drawing/2014/main" id="{57E24205-F6F3-46D9-BD44-BBFAE0F7A815}"/>
            </a:ext>
          </a:extLst>
        </xdr:cNvPr>
        <xdr:cNvSpPr/>
      </xdr:nvSpPr>
      <xdr:spPr>
        <a:xfrm>
          <a:off x="3038475" y="857250"/>
          <a:ext cx="1704975" cy="7715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380999</xdr:colOff>
      <xdr:row>5</xdr:row>
      <xdr:rowOff>161925</xdr:rowOff>
    </xdr:from>
    <xdr:ext cx="962026" cy="419100"/>
    <xdr:sp macro="" textlink="'Pivot Tables'!B79">
      <xdr:nvSpPr>
        <xdr:cNvPr id="25" name="TextBox 24">
          <a:extLst>
            <a:ext uri="{FF2B5EF4-FFF2-40B4-BE49-F238E27FC236}">
              <a16:creationId xmlns:a16="http://schemas.microsoft.com/office/drawing/2014/main" id="{0B067D44-7038-99EE-0151-96F46F35C0F1}"/>
            </a:ext>
          </a:extLst>
        </xdr:cNvPr>
        <xdr:cNvSpPr txBox="1"/>
      </xdr:nvSpPr>
      <xdr:spPr>
        <a:xfrm>
          <a:off x="3428999" y="1114425"/>
          <a:ext cx="962026"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8B14900-5F3C-4444-ABD5-5F981FFE7505}" type="TxLink">
            <a:rPr lang="en-US" sz="1600" b="1" i="0" u="none" strike="noStrike">
              <a:solidFill>
                <a:srgbClr val="000000"/>
              </a:solidFill>
              <a:latin typeface="Times New Roman" panose="02020603050405020304" pitchFamily="18" charset="0"/>
              <a:cs typeface="Times New Roman" panose="02020603050405020304" pitchFamily="18" charset="0"/>
            </a:rPr>
            <a:pPr/>
            <a:t>35.0</a:t>
          </a:fld>
          <a:r>
            <a:rPr lang="en-US" sz="1600" b="1" i="0" u="none" strike="noStrike">
              <a:solidFill>
                <a:srgbClr val="000000"/>
              </a:solidFill>
              <a:latin typeface="Times New Roman" panose="02020603050405020304" pitchFamily="18" charset="0"/>
              <a:cs typeface="Times New Roman" panose="02020603050405020304" pitchFamily="18" charset="0"/>
            </a:rPr>
            <a:t> Min</a:t>
          </a:r>
          <a:endParaRPr lang="en-IN" sz="1600" b="1">
            <a:latin typeface="Times New Roman" panose="02020603050405020304" pitchFamily="18" charset="0"/>
            <a:cs typeface="Times New Roman" panose="02020603050405020304" pitchFamily="18" charset="0"/>
          </a:endParaRPr>
        </a:p>
      </xdr:txBody>
    </xdr:sp>
    <xdr:clientData/>
  </xdr:oneCellAnchor>
  <xdr:twoCellAnchor editAs="oneCell">
    <xdr:from>
      <xdr:col>6</xdr:col>
      <xdr:colOff>9525</xdr:colOff>
      <xdr:row>4</xdr:row>
      <xdr:rowOff>57150</xdr:rowOff>
    </xdr:from>
    <xdr:to>
      <xdr:col>6</xdr:col>
      <xdr:colOff>422275</xdr:colOff>
      <xdr:row>6</xdr:row>
      <xdr:rowOff>9525</xdr:rowOff>
    </xdr:to>
    <xdr:pic>
      <xdr:nvPicPr>
        <xdr:cNvPr id="29" name="Graphic 28" descr="Hourglass Finished with solid fill">
          <a:extLst>
            <a:ext uri="{FF2B5EF4-FFF2-40B4-BE49-F238E27FC236}">
              <a16:creationId xmlns:a16="http://schemas.microsoft.com/office/drawing/2014/main" id="{04602D70-117C-923D-3EED-FFD0EB83F3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67125" y="819150"/>
          <a:ext cx="412750" cy="333375"/>
        </a:xfrm>
        <a:prstGeom prst="rect">
          <a:avLst/>
        </a:prstGeom>
      </xdr:spPr>
    </xdr:pic>
    <xdr:clientData/>
  </xdr:twoCellAnchor>
  <xdr:oneCellAnchor>
    <xdr:from>
      <xdr:col>5</xdr:col>
      <xdr:colOff>28575</xdr:colOff>
      <xdr:row>7</xdr:row>
      <xdr:rowOff>19050</xdr:rowOff>
    </xdr:from>
    <xdr:ext cx="1600566" cy="298800"/>
    <xdr:sp macro="" textlink="">
      <xdr:nvSpPr>
        <xdr:cNvPr id="30" name="TextBox 29">
          <a:extLst>
            <a:ext uri="{FF2B5EF4-FFF2-40B4-BE49-F238E27FC236}">
              <a16:creationId xmlns:a16="http://schemas.microsoft.com/office/drawing/2014/main" id="{682CA44E-4FBA-2F89-98D5-BE3F72F8E7A7}"/>
            </a:ext>
          </a:extLst>
        </xdr:cNvPr>
        <xdr:cNvSpPr txBox="1"/>
      </xdr:nvSpPr>
      <xdr:spPr>
        <a:xfrm>
          <a:off x="3076575" y="1352550"/>
          <a:ext cx="160056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Averge Wait</a:t>
          </a:r>
          <a:r>
            <a:rPr lang="en-IN" sz="1400" b="1" baseline="0">
              <a:latin typeface="Times New Roman" panose="02020603050405020304" pitchFamily="18" charset="0"/>
              <a:cs typeface="Times New Roman" panose="02020603050405020304" pitchFamily="18" charset="0"/>
            </a:rPr>
            <a:t> Time</a:t>
          </a:r>
          <a:endParaRPr lang="en-IN" sz="1400" b="1">
            <a:latin typeface="Times New Roman" panose="02020603050405020304" pitchFamily="18" charset="0"/>
            <a:cs typeface="Times New Roman" panose="02020603050405020304" pitchFamily="18" charset="0"/>
          </a:endParaRPr>
        </a:p>
      </xdr:txBody>
    </xdr:sp>
    <xdr:clientData/>
  </xdr:oneCellAnchor>
  <xdr:twoCellAnchor>
    <xdr:from>
      <xdr:col>7</xdr:col>
      <xdr:colOff>542925</xdr:colOff>
      <xdr:row>4</xdr:row>
      <xdr:rowOff>104775</xdr:rowOff>
    </xdr:from>
    <xdr:to>
      <xdr:col>16</xdr:col>
      <xdr:colOff>314325</xdr:colOff>
      <xdr:row>8</xdr:row>
      <xdr:rowOff>104775</xdr:rowOff>
    </xdr:to>
    <xdr:sp macro="" textlink="">
      <xdr:nvSpPr>
        <xdr:cNvPr id="31" name="Rectangle 30">
          <a:extLst>
            <a:ext uri="{FF2B5EF4-FFF2-40B4-BE49-F238E27FC236}">
              <a16:creationId xmlns:a16="http://schemas.microsoft.com/office/drawing/2014/main" id="{289534F8-C218-4124-B76A-C7A2AEDF4418}"/>
            </a:ext>
          </a:extLst>
        </xdr:cNvPr>
        <xdr:cNvSpPr/>
      </xdr:nvSpPr>
      <xdr:spPr>
        <a:xfrm>
          <a:off x="4810125" y="866775"/>
          <a:ext cx="5257800" cy="76200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514350</xdr:colOff>
      <xdr:row>4</xdr:row>
      <xdr:rowOff>38100</xdr:rowOff>
    </xdr:from>
    <xdr:ext cx="1516569" cy="298800"/>
    <xdr:sp macro="" textlink="">
      <xdr:nvSpPr>
        <xdr:cNvPr id="32" name="TextBox 31">
          <a:extLst>
            <a:ext uri="{FF2B5EF4-FFF2-40B4-BE49-F238E27FC236}">
              <a16:creationId xmlns:a16="http://schemas.microsoft.com/office/drawing/2014/main" id="{85A63018-253B-7B3C-D296-0E961A40BEEE}"/>
            </a:ext>
          </a:extLst>
        </xdr:cNvPr>
        <xdr:cNvSpPr txBox="1"/>
      </xdr:nvSpPr>
      <xdr:spPr>
        <a:xfrm>
          <a:off x="4781550" y="800100"/>
          <a:ext cx="151656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Admission Status</a:t>
          </a:r>
        </a:p>
      </xdr:txBody>
    </xdr:sp>
    <xdr:clientData/>
  </xdr:oneCellAnchor>
  <xdr:oneCellAnchor>
    <xdr:from>
      <xdr:col>8</xdr:col>
      <xdr:colOff>276225</xdr:colOff>
      <xdr:row>5</xdr:row>
      <xdr:rowOff>152400</xdr:rowOff>
    </xdr:from>
    <xdr:ext cx="862865" cy="298800"/>
    <xdr:sp macro="" textlink="">
      <xdr:nvSpPr>
        <xdr:cNvPr id="33" name="TextBox 32">
          <a:extLst>
            <a:ext uri="{FF2B5EF4-FFF2-40B4-BE49-F238E27FC236}">
              <a16:creationId xmlns:a16="http://schemas.microsoft.com/office/drawing/2014/main" id="{A583B2C7-C2E0-DB0A-653D-8DAF8989C37F}"/>
            </a:ext>
          </a:extLst>
        </xdr:cNvPr>
        <xdr:cNvSpPr txBox="1"/>
      </xdr:nvSpPr>
      <xdr:spPr>
        <a:xfrm>
          <a:off x="5153025" y="1104900"/>
          <a:ext cx="86286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latin typeface="Times New Roman" panose="02020603050405020304" pitchFamily="18" charset="0"/>
              <a:cs typeface="Times New Roman" panose="02020603050405020304" pitchFamily="18" charset="0"/>
            </a:rPr>
            <a:t>Admitted</a:t>
          </a:r>
        </a:p>
      </xdr:txBody>
    </xdr:sp>
    <xdr:clientData/>
  </xdr:oneCellAnchor>
  <xdr:oneCellAnchor>
    <xdr:from>
      <xdr:col>8</xdr:col>
      <xdr:colOff>123825</xdr:colOff>
      <xdr:row>7</xdr:row>
      <xdr:rowOff>28575</xdr:rowOff>
    </xdr:from>
    <xdr:ext cx="1177053" cy="298800"/>
    <xdr:sp macro="" textlink="">
      <xdr:nvSpPr>
        <xdr:cNvPr id="34" name="TextBox 33">
          <a:extLst>
            <a:ext uri="{FF2B5EF4-FFF2-40B4-BE49-F238E27FC236}">
              <a16:creationId xmlns:a16="http://schemas.microsoft.com/office/drawing/2014/main" id="{C4F4A65D-5623-4B9B-9BF7-6FB5F9906CCF}"/>
            </a:ext>
          </a:extLst>
        </xdr:cNvPr>
        <xdr:cNvSpPr txBox="1"/>
      </xdr:nvSpPr>
      <xdr:spPr>
        <a:xfrm>
          <a:off x="5000625" y="1362075"/>
          <a:ext cx="117705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latin typeface="Times New Roman" panose="02020603050405020304" pitchFamily="18" charset="0"/>
              <a:cs typeface="Times New Roman" panose="02020603050405020304" pitchFamily="18" charset="0"/>
            </a:rPr>
            <a:t>Not Admitted</a:t>
          </a:r>
        </a:p>
      </xdr:txBody>
    </xdr:sp>
    <xdr:clientData/>
  </xdr:oneCellAnchor>
  <xdr:oneCellAnchor>
    <xdr:from>
      <xdr:col>10</xdr:col>
      <xdr:colOff>485775</xdr:colOff>
      <xdr:row>4</xdr:row>
      <xdr:rowOff>66675</xdr:rowOff>
    </xdr:from>
    <xdr:ext cx="543739" cy="298800"/>
    <xdr:sp macro="" textlink="">
      <xdr:nvSpPr>
        <xdr:cNvPr id="35" name="TextBox 34">
          <a:extLst>
            <a:ext uri="{FF2B5EF4-FFF2-40B4-BE49-F238E27FC236}">
              <a16:creationId xmlns:a16="http://schemas.microsoft.com/office/drawing/2014/main" id="{CBE62CC3-D05E-4386-B5C6-7CCF05C675C3}"/>
            </a:ext>
          </a:extLst>
        </xdr:cNvPr>
        <xdr:cNvSpPr txBox="1"/>
      </xdr:nvSpPr>
      <xdr:spPr>
        <a:xfrm>
          <a:off x="6581775" y="828675"/>
          <a:ext cx="54373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2023</a:t>
          </a:r>
        </a:p>
      </xdr:txBody>
    </xdr:sp>
    <xdr:clientData/>
  </xdr:oneCellAnchor>
  <xdr:oneCellAnchor>
    <xdr:from>
      <xdr:col>10</xdr:col>
      <xdr:colOff>552450</xdr:colOff>
      <xdr:row>7</xdr:row>
      <xdr:rowOff>28575</xdr:rowOff>
    </xdr:from>
    <xdr:ext cx="453970" cy="298800"/>
    <xdr:sp macro="" textlink="'Pivot Tables'!B83">
      <xdr:nvSpPr>
        <xdr:cNvPr id="36" name="TextBox 35">
          <a:extLst>
            <a:ext uri="{FF2B5EF4-FFF2-40B4-BE49-F238E27FC236}">
              <a16:creationId xmlns:a16="http://schemas.microsoft.com/office/drawing/2014/main" id="{15E75BA3-2CD6-48E0-A0B0-172C95A1DFDB}"/>
            </a:ext>
          </a:extLst>
        </xdr:cNvPr>
        <xdr:cNvSpPr txBox="1"/>
      </xdr:nvSpPr>
      <xdr:spPr>
        <a:xfrm>
          <a:off x="6648450" y="1362075"/>
          <a:ext cx="45397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C9421D9-7E1E-45AC-9EDA-6861FB56D70E}" type="TxLink">
            <a:rPr lang="en-US" sz="1400" b="0" i="0" u="none" strike="noStrike">
              <a:solidFill>
                <a:srgbClr val="000000"/>
              </a:solidFill>
              <a:latin typeface="Times New Roman" panose="02020603050405020304" pitchFamily="18" charset="0"/>
              <a:cs typeface="Times New Roman" panose="02020603050405020304" pitchFamily="18" charset="0"/>
            </a:rPr>
            <a:pPr/>
            <a:t>242</a:t>
          </a:fld>
          <a:endParaRPr lang="en-IN" sz="1400" b="0">
            <a:latin typeface="Times New Roman" panose="02020603050405020304" pitchFamily="18" charset="0"/>
            <a:cs typeface="Times New Roman" panose="02020603050405020304" pitchFamily="18" charset="0"/>
          </a:endParaRPr>
        </a:p>
      </xdr:txBody>
    </xdr:sp>
    <xdr:clientData/>
  </xdr:oneCellAnchor>
  <xdr:oneCellAnchor>
    <xdr:from>
      <xdr:col>10</xdr:col>
      <xdr:colOff>552450</xdr:colOff>
      <xdr:row>5</xdr:row>
      <xdr:rowOff>152400</xdr:rowOff>
    </xdr:from>
    <xdr:ext cx="453970" cy="298800"/>
    <xdr:sp macro="" textlink="'Pivot Tables'!B84">
      <xdr:nvSpPr>
        <xdr:cNvPr id="37" name="TextBox 36">
          <a:extLst>
            <a:ext uri="{FF2B5EF4-FFF2-40B4-BE49-F238E27FC236}">
              <a16:creationId xmlns:a16="http://schemas.microsoft.com/office/drawing/2014/main" id="{D1D3C042-6046-4A3A-8F56-6DB229F53243}"/>
            </a:ext>
          </a:extLst>
        </xdr:cNvPr>
        <xdr:cNvSpPr txBox="1"/>
      </xdr:nvSpPr>
      <xdr:spPr>
        <a:xfrm>
          <a:off x="6648450" y="1104900"/>
          <a:ext cx="45397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AFB0B9-B54B-4A7D-BE2A-DAD03C251E26}" type="TxLink">
            <a:rPr lang="en-US" sz="1400" b="0" i="0" u="none" strike="noStrike">
              <a:solidFill>
                <a:schemeClr val="tx1"/>
              </a:solidFill>
              <a:latin typeface="Times New Roman" panose="02020603050405020304" pitchFamily="18" charset="0"/>
              <a:cs typeface="Times New Roman" panose="02020603050405020304" pitchFamily="18" charset="0"/>
            </a:rPr>
            <a:pPr/>
            <a:t>237</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0</xdr:colOff>
      <xdr:row>4</xdr:row>
      <xdr:rowOff>57150</xdr:rowOff>
    </xdr:from>
    <xdr:ext cx="822726" cy="298800"/>
    <xdr:sp macro="" textlink="'Pivot Tables'!B83">
      <xdr:nvSpPr>
        <xdr:cNvPr id="38" name="TextBox 37">
          <a:extLst>
            <a:ext uri="{FF2B5EF4-FFF2-40B4-BE49-F238E27FC236}">
              <a16:creationId xmlns:a16="http://schemas.microsoft.com/office/drawing/2014/main" id="{D0B5993F-B59E-4D32-988D-0DCD3F4B9711}"/>
            </a:ext>
          </a:extLst>
        </xdr:cNvPr>
        <xdr:cNvSpPr txBox="1"/>
      </xdr:nvSpPr>
      <xdr:spPr>
        <a:xfrm>
          <a:off x="7315200" y="819150"/>
          <a:ext cx="82272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Average</a:t>
          </a:r>
        </a:p>
      </xdr:txBody>
    </xdr:sp>
    <xdr:clientData/>
  </xdr:oneCellAnchor>
  <xdr:oneCellAnchor>
    <xdr:from>
      <xdr:col>15</xdr:col>
      <xdr:colOff>85725</xdr:colOff>
      <xdr:row>5</xdr:row>
      <xdr:rowOff>142875</xdr:rowOff>
    </xdr:from>
    <xdr:ext cx="648383" cy="298800"/>
    <xdr:sp macro="" textlink="'Pivot Tables'!F84">
      <xdr:nvSpPr>
        <xdr:cNvPr id="39" name="TextBox 38">
          <a:extLst>
            <a:ext uri="{FF2B5EF4-FFF2-40B4-BE49-F238E27FC236}">
              <a16:creationId xmlns:a16="http://schemas.microsoft.com/office/drawing/2014/main" id="{B5C1B29F-2265-46F3-BB8E-86E2D03C681F}"/>
            </a:ext>
          </a:extLst>
        </xdr:cNvPr>
        <xdr:cNvSpPr txBox="1"/>
      </xdr:nvSpPr>
      <xdr:spPr>
        <a:xfrm>
          <a:off x="9229725" y="1095375"/>
          <a:ext cx="64838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5F1F88-4718-4428-958D-40A0F34BE359}" type="TxLink">
            <a:rPr lang="en-US" sz="1400" b="0" i="0" u="none" strike="noStrike">
              <a:solidFill>
                <a:schemeClr val="tx1"/>
              </a:solidFill>
              <a:latin typeface="Times New Roman" panose="02020603050405020304" pitchFamily="18" charset="0"/>
              <a:cs typeface="Times New Roman" panose="02020603050405020304" pitchFamily="18" charset="0"/>
            </a:rPr>
            <a:pPr/>
            <a:t>47.9%</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76200</xdr:colOff>
      <xdr:row>7</xdr:row>
      <xdr:rowOff>38101</xdr:rowOff>
    </xdr:from>
    <xdr:ext cx="648383" cy="298800"/>
    <xdr:sp macro="" textlink="'Pivot Tables'!F83">
      <xdr:nvSpPr>
        <xdr:cNvPr id="2" name="TextBox 1">
          <a:extLst>
            <a:ext uri="{FF2B5EF4-FFF2-40B4-BE49-F238E27FC236}">
              <a16:creationId xmlns:a16="http://schemas.microsoft.com/office/drawing/2014/main" id="{AEED37E5-C3BA-4C3F-80D1-A92B8535A0EE}"/>
            </a:ext>
          </a:extLst>
        </xdr:cNvPr>
        <xdr:cNvSpPr txBox="1"/>
      </xdr:nvSpPr>
      <xdr:spPr>
        <a:xfrm>
          <a:off x="9220200" y="1371601"/>
          <a:ext cx="64838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811F2A-5116-4916-AA30-9657471761D4}" type="TxLink">
            <a:rPr lang="en-US" sz="1400" b="0" i="0" u="none" strike="noStrike">
              <a:solidFill>
                <a:srgbClr val="000000"/>
              </a:solidFill>
              <a:latin typeface="Times New Roman" panose="02020603050405020304" pitchFamily="18" charset="0"/>
              <a:cs typeface="Times New Roman" panose="02020603050405020304" pitchFamily="18" charset="0"/>
            </a:rPr>
            <a:pPr/>
            <a:t>52.1%</a:t>
          </a:fld>
          <a:endParaRPr lang="en-IN" sz="1400" b="0">
            <a:latin typeface="Times New Roman" panose="02020603050405020304" pitchFamily="18" charset="0"/>
            <a:cs typeface="Times New Roman" panose="02020603050405020304" pitchFamily="18" charset="0"/>
          </a:endParaRPr>
        </a:p>
      </xdr:txBody>
    </xdr:sp>
    <xdr:clientData/>
  </xdr:oneCellAnchor>
  <xdr:twoCellAnchor>
    <xdr:from>
      <xdr:col>16</xdr:col>
      <xdr:colOff>381000</xdr:colOff>
      <xdr:row>10</xdr:row>
      <xdr:rowOff>161925</xdr:rowOff>
    </xdr:from>
    <xdr:to>
      <xdr:col>20</xdr:col>
      <xdr:colOff>304800</xdr:colOff>
      <xdr:row>21</xdr:row>
      <xdr:rowOff>66675</xdr:rowOff>
    </xdr:to>
    <xdr:graphicFrame macro="">
      <xdr:nvGraphicFramePr>
        <xdr:cNvPr id="5" name="Chart 4">
          <a:extLst>
            <a:ext uri="{FF2B5EF4-FFF2-40B4-BE49-F238E27FC236}">
              <a16:creationId xmlns:a16="http://schemas.microsoft.com/office/drawing/2014/main" id="{8C8ADCF0-3CA7-41D3-A101-1A9279BBD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8</xdr:row>
      <xdr:rowOff>28575</xdr:rowOff>
    </xdr:from>
    <xdr:to>
      <xdr:col>4</xdr:col>
      <xdr:colOff>552451</xdr:colOff>
      <xdr:row>13</xdr:row>
      <xdr:rowOff>95249</xdr:rowOff>
    </xdr:to>
    <xdr:graphicFrame macro="">
      <xdr:nvGraphicFramePr>
        <xdr:cNvPr id="16" name="Chart 15">
          <a:extLst>
            <a:ext uri="{FF2B5EF4-FFF2-40B4-BE49-F238E27FC236}">
              <a16:creationId xmlns:a16="http://schemas.microsoft.com/office/drawing/2014/main" id="{1EC3D82C-B754-4304-A0E1-47E5F5415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476250</xdr:colOff>
      <xdr:row>16</xdr:row>
      <xdr:rowOff>95250</xdr:rowOff>
    </xdr:from>
    <xdr:to>
      <xdr:col>5</xdr:col>
      <xdr:colOff>76199</xdr:colOff>
      <xdr:row>22</xdr:row>
      <xdr:rowOff>66674</xdr:rowOff>
    </xdr:to>
    <xdr:graphicFrame macro="">
      <xdr:nvGraphicFramePr>
        <xdr:cNvPr id="19" name="Chart 18">
          <a:extLst>
            <a:ext uri="{FF2B5EF4-FFF2-40B4-BE49-F238E27FC236}">
              <a16:creationId xmlns:a16="http://schemas.microsoft.com/office/drawing/2014/main" id="{3E867141-DF7E-44B0-8214-CE7C02103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66675</xdr:colOff>
      <xdr:row>4</xdr:row>
      <xdr:rowOff>85725</xdr:rowOff>
    </xdr:from>
    <xdr:to>
      <xdr:col>3</xdr:col>
      <xdr:colOff>590550</xdr:colOff>
      <xdr:row>6</xdr:row>
      <xdr:rowOff>19049</xdr:rowOff>
    </xdr:to>
    <xdr:pic>
      <xdr:nvPicPr>
        <xdr:cNvPr id="26" name="Graphic 25" descr="Sling with solid fill">
          <a:extLst>
            <a:ext uri="{FF2B5EF4-FFF2-40B4-BE49-F238E27FC236}">
              <a16:creationId xmlns:a16="http://schemas.microsoft.com/office/drawing/2014/main" id="{0E605505-B823-4BF0-AF43-0099A72A3C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5475" y="847725"/>
          <a:ext cx="523875" cy="314324"/>
        </a:xfrm>
        <a:prstGeom prst="rect">
          <a:avLst/>
        </a:prstGeom>
      </xdr:spPr>
    </xdr:pic>
    <xdr:clientData/>
  </xdr:twoCellAnchor>
  <xdr:twoCellAnchor>
    <xdr:from>
      <xdr:col>2</xdr:col>
      <xdr:colOff>19050</xdr:colOff>
      <xdr:row>0</xdr:row>
      <xdr:rowOff>76200</xdr:rowOff>
    </xdr:from>
    <xdr:to>
      <xdr:col>4</xdr:col>
      <xdr:colOff>533400</xdr:colOff>
      <xdr:row>4</xdr:row>
      <xdr:rowOff>28575</xdr:rowOff>
    </xdr:to>
    <xdr:sp macro="" textlink="">
      <xdr:nvSpPr>
        <xdr:cNvPr id="28" name="Rectangle 27">
          <a:extLst>
            <a:ext uri="{FF2B5EF4-FFF2-40B4-BE49-F238E27FC236}">
              <a16:creationId xmlns:a16="http://schemas.microsoft.com/office/drawing/2014/main" id="{D521C691-1DF2-4FC3-807C-8F43F3B80856}"/>
            </a:ext>
          </a:extLst>
        </xdr:cNvPr>
        <xdr:cNvSpPr/>
      </xdr:nvSpPr>
      <xdr:spPr>
        <a:xfrm>
          <a:off x="1238250" y="76200"/>
          <a:ext cx="1733550" cy="71437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542925</xdr:colOff>
      <xdr:row>0</xdr:row>
      <xdr:rowOff>180975</xdr:rowOff>
    </xdr:from>
    <xdr:ext cx="781050" cy="352425"/>
    <xdr:sp macro="" textlink="'Pivot Tables'!D2">
      <xdr:nvSpPr>
        <xdr:cNvPr id="40" name="TextBox 39">
          <a:extLst>
            <a:ext uri="{FF2B5EF4-FFF2-40B4-BE49-F238E27FC236}">
              <a16:creationId xmlns:a16="http://schemas.microsoft.com/office/drawing/2014/main" id="{1815368D-E07C-4F8A-B563-950F258DD57F}"/>
            </a:ext>
          </a:extLst>
        </xdr:cNvPr>
        <xdr:cNvSpPr txBox="1"/>
      </xdr:nvSpPr>
      <xdr:spPr>
        <a:xfrm>
          <a:off x="1762125" y="180975"/>
          <a:ext cx="78105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813832-12B6-4F3C-9C0C-1862DFC848F2}" type="TxLink">
            <a:rPr lang="en-US" sz="2000" b="1" i="0" u="none" strike="noStrike">
              <a:solidFill>
                <a:srgbClr val="000000"/>
              </a:solidFill>
              <a:latin typeface="Times New Roman" panose="02020603050405020304" pitchFamily="18" charset="0"/>
              <a:cs typeface="Times New Roman" panose="02020603050405020304" pitchFamily="18" charset="0"/>
            </a:rPr>
            <a:pPr/>
            <a:t>4338</a:t>
          </a:fld>
          <a:endParaRPr lang="en-IN" sz="2000" b="1">
            <a:latin typeface="Times New Roman" panose="02020603050405020304" pitchFamily="18" charset="0"/>
            <a:cs typeface="Times New Roman" panose="02020603050405020304" pitchFamily="18" charset="0"/>
          </a:endParaRPr>
        </a:p>
      </xdr:txBody>
    </xdr:sp>
    <xdr:clientData/>
  </xdr:oneCellAnchor>
  <xdr:oneCellAnchor>
    <xdr:from>
      <xdr:col>3</xdr:col>
      <xdr:colOff>0</xdr:colOff>
      <xdr:row>5</xdr:row>
      <xdr:rowOff>180975</xdr:rowOff>
    </xdr:from>
    <xdr:ext cx="781050" cy="352425"/>
    <xdr:sp macro="" textlink="'Pivot Tables'!E12">
      <xdr:nvSpPr>
        <xdr:cNvPr id="41" name="TextBox 40">
          <a:extLst>
            <a:ext uri="{FF2B5EF4-FFF2-40B4-BE49-F238E27FC236}">
              <a16:creationId xmlns:a16="http://schemas.microsoft.com/office/drawing/2014/main" id="{21199FB4-FFC4-428D-90D1-DEB2E61FF903}"/>
            </a:ext>
          </a:extLst>
        </xdr:cNvPr>
        <xdr:cNvSpPr txBox="1"/>
      </xdr:nvSpPr>
      <xdr:spPr>
        <a:xfrm>
          <a:off x="1828800" y="1133475"/>
          <a:ext cx="78105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AF95F32-57E0-4E82-9452-4213C989A332}" type="TxLink">
            <a:rPr lang="en-US" sz="2000" b="1" i="0" u="none" strike="noStrike">
              <a:solidFill>
                <a:schemeClr val="tx1"/>
              </a:solidFill>
              <a:latin typeface="Times New Roman" panose="02020603050405020304" pitchFamily="18" charset="0"/>
              <a:cs typeface="Times New Roman" panose="02020603050405020304" pitchFamily="18" charset="0"/>
            </a:rPr>
            <a:pPr/>
            <a:t>479</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600076</xdr:colOff>
      <xdr:row>14</xdr:row>
      <xdr:rowOff>47626</xdr:rowOff>
    </xdr:from>
    <xdr:ext cx="781050" cy="352425"/>
    <xdr:sp macro="" textlink="'Pivot Tables'!E7">
      <xdr:nvSpPr>
        <xdr:cNvPr id="42" name="TextBox 41">
          <a:extLst>
            <a:ext uri="{FF2B5EF4-FFF2-40B4-BE49-F238E27FC236}">
              <a16:creationId xmlns:a16="http://schemas.microsoft.com/office/drawing/2014/main" id="{43A20947-AB51-47B3-909E-2AF59AE38110}"/>
            </a:ext>
          </a:extLst>
        </xdr:cNvPr>
        <xdr:cNvSpPr txBox="1"/>
      </xdr:nvSpPr>
      <xdr:spPr>
        <a:xfrm>
          <a:off x="1819276" y="2714626"/>
          <a:ext cx="78105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4F742F6-F4CF-4311-AA93-21FBB7E19541}" type="TxLink">
            <a:rPr lang="en-US" sz="2000" b="1" i="0" u="none" strike="noStrike">
              <a:solidFill>
                <a:srgbClr val="000000"/>
              </a:solidFill>
              <a:latin typeface="Times New Roman" panose="02020603050405020304" pitchFamily="18" charset="0"/>
              <a:cs typeface="Times New Roman" panose="02020603050405020304" pitchFamily="18" charset="0"/>
            </a:rPr>
            <a:pPr/>
            <a:t>469</a:t>
          </a:fld>
          <a:endParaRPr lang="en-IN" sz="2000" b="1">
            <a:latin typeface="Times New Roman" panose="02020603050405020304" pitchFamily="18" charset="0"/>
            <a:cs typeface="Times New Roman" panose="02020603050405020304" pitchFamily="18" charset="0"/>
          </a:endParaRPr>
        </a:p>
      </xdr:txBody>
    </xdr:sp>
    <xdr:clientData/>
  </xdr:oneCellAnchor>
  <xdr:oneCellAnchor>
    <xdr:from>
      <xdr:col>1</xdr:col>
      <xdr:colOff>590550</xdr:colOff>
      <xdr:row>2</xdr:row>
      <xdr:rowOff>114300</xdr:rowOff>
    </xdr:from>
    <xdr:ext cx="1905000" cy="438150"/>
    <xdr:sp macro="" textlink="'Pivot Tables'!D2">
      <xdr:nvSpPr>
        <xdr:cNvPr id="43" name="TextBox 42">
          <a:extLst>
            <a:ext uri="{FF2B5EF4-FFF2-40B4-BE49-F238E27FC236}">
              <a16:creationId xmlns:a16="http://schemas.microsoft.com/office/drawing/2014/main" id="{4A2BDBB2-1810-43D9-9CBB-AA6676E83E09}"/>
            </a:ext>
          </a:extLst>
        </xdr:cNvPr>
        <xdr:cNvSpPr txBox="1"/>
      </xdr:nvSpPr>
      <xdr:spPr>
        <a:xfrm>
          <a:off x="1200150" y="495300"/>
          <a:ext cx="1905000" cy="438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rgbClr val="000000"/>
              </a:solidFill>
              <a:latin typeface="Times New Roman" panose="02020603050405020304" pitchFamily="18" charset="0"/>
              <a:cs typeface="Times New Roman" panose="02020603050405020304" pitchFamily="18" charset="0"/>
            </a:rPr>
            <a:t>Total Patient 2023</a:t>
          </a:r>
          <a:endParaRPr lang="en-IN" sz="1600" b="1">
            <a:latin typeface="Times New Roman" panose="02020603050405020304" pitchFamily="18" charset="0"/>
            <a:cs typeface="Times New Roman" panose="02020603050405020304" pitchFamily="18" charset="0"/>
          </a:endParaRPr>
        </a:p>
      </xdr:txBody>
    </xdr:sp>
    <xdr:clientData/>
  </xdr:oneCellAnchor>
  <xdr:twoCellAnchor>
    <xdr:from>
      <xdr:col>4</xdr:col>
      <xdr:colOff>600075</xdr:colOff>
      <xdr:row>0</xdr:row>
      <xdr:rowOff>76200</xdr:rowOff>
    </xdr:from>
    <xdr:to>
      <xdr:col>7</xdr:col>
      <xdr:colOff>476250</xdr:colOff>
      <xdr:row>4</xdr:row>
      <xdr:rowOff>28575</xdr:rowOff>
    </xdr:to>
    <xdr:sp macro="" textlink="">
      <xdr:nvSpPr>
        <xdr:cNvPr id="44" name="Rectangle 43">
          <a:extLst>
            <a:ext uri="{FF2B5EF4-FFF2-40B4-BE49-F238E27FC236}">
              <a16:creationId xmlns:a16="http://schemas.microsoft.com/office/drawing/2014/main" id="{92F45BEA-58CC-4D0E-9893-3CF02D8D272C}"/>
            </a:ext>
          </a:extLst>
        </xdr:cNvPr>
        <xdr:cNvSpPr/>
      </xdr:nvSpPr>
      <xdr:spPr>
        <a:xfrm>
          <a:off x="3038475" y="76200"/>
          <a:ext cx="1704975" cy="71437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542925</xdr:colOff>
      <xdr:row>2</xdr:row>
      <xdr:rowOff>114300</xdr:rowOff>
    </xdr:from>
    <xdr:ext cx="1905000" cy="438150"/>
    <xdr:sp macro="" textlink="'Pivot Tables'!D2">
      <xdr:nvSpPr>
        <xdr:cNvPr id="45" name="TextBox 44">
          <a:extLst>
            <a:ext uri="{FF2B5EF4-FFF2-40B4-BE49-F238E27FC236}">
              <a16:creationId xmlns:a16="http://schemas.microsoft.com/office/drawing/2014/main" id="{188DC942-FBA5-4A9D-A237-E47BB93B054D}"/>
            </a:ext>
          </a:extLst>
        </xdr:cNvPr>
        <xdr:cNvSpPr txBox="1"/>
      </xdr:nvSpPr>
      <xdr:spPr>
        <a:xfrm>
          <a:off x="2981325" y="495300"/>
          <a:ext cx="1905000" cy="438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rgbClr val="000000"/>
              </a:solidFill>
              <a:latin typeface="Times New Roman" panose="02020603050405020304" pitchFamily="18" charset="0"/>
              <a:cs typeface="Times New Roman" panose="02020603050405020304" pitchFamily="18" charset="0"/>
            </a:rPr>
            <a:t>Total Patient 2024</a:t>
          </a:r>
          <a:endParaRPr lang="en-IN" sz="1600" b="1">
            <a:latin typeface="Times New Roman" panose="02020603050405020304" pitchFamily="18" charset="0"/>
            <a:cs typeface="Times New Roman" panose="02020603050405020304" pitchFamily="18" charset="0"/>
          </a:endParaRPr>
        </a:p>
      </xdr:txBody>
    </xdr:sp>
    <xdr:clientData/>
  </xdr:oneCellAnchor>
  <xdr:oneCellAnchor>
    <xdr:from>
      <xdr:col>5</xdr:col>
      <xdr:colOff>457200</xdr:colOff>
      <xdr:row>1</xdr:row>
      <xdr:rowOff>0</xdr:rowOff>
    </xdr:from>
    <xdr:ext cx="781050" cy="352425"/>
    <xdr:sp macro="" textlink="'Pivot Tables'!D3">
      <xdr:nvSpPr>
        <xdr:cNvPr id="46" name="TextBox 45">
          <a:extLst>
            <a:ext uri="{FF2B5EF4-FFF2-40B4-BE49-F238E27FC236}">
              <a16:creationId xmlns:a16="http://schemas.microsoft.com/office/drawing/2014/main" id="{0D960DDB-F7DB-479F-AE25-C204BEA6ADAE}"/>
            </a:ext>
          </a:extLst>
        </xdr:cNvPr>
        <xdr:cNvSpPr txBox="1"/>
      </xdr:nvSpPr>
      <xdr:spPr>
        <a:xfrm>
          <a:off x="3505200" y="190500"/>
          <a:ext cx="78105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6D1E7FA-3AE6-4991-A0EE-A38E7FB1F441}" type="TxLink">
            <a:rPr lang="en-US" sz="2000" b="1" i="0" u="none" strike="noStrike">
              <a:solidFill>
                <a:schemeClr val="tx1"/>
              </a:solidFill>
              <a:latin typeface="Times New Roman" panose="02020603050405020304" pitchFamily="18" charset="0"/>
              <a:cs typeface="Times New Roman" panose="02020603050405020304" pitchFamily="18" charset="0"/>
            </a:rPr>
            <a:pPr/>
            <a:t>4878</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twoCellAnchor editAs="oneCell">
    <xdr:from>
      <xdr:col>2</xdr:col>
      <xdr:colOff>142875</xdr:colOff>
      <xdr:row>0</xdr:row>
      <xdr:rowOff>161925</xdr:rowOff>
    </xdr:from>
    <xdr:to>
      <xdr:col>2</xdr:col>
      <xdr:colOff>504825</xdr:colOff>
      <xdr:row>2</xdr:row>
      <xdr:rowOff>142875</xdr:rowOff>
    </xdr:to>
    <xdr:pic>
      <xdr:nvPicPr>
        <xdr:cNvPr id="48" name="Graphic 47" descr="Inpatient with solid fill">
          <a:extLst>
            <a:ext uri="{FF2B5EF4-FFF2-40B4-BE49-F238E27FC236}">
              <a16:creationId xmlns:a16="http://schemas.microsoft.com/office/drawing/2014/main" id="{A1842027-F651-3A81-7F5A-103B8AA816D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62075" y="161925"/>
          <a:ext cx="361950" cy="361950"/>
        </a:xfrm>
        <a:prstGeom prst="rect">
          <a:avLst/>
        </a:prstGeom>
      </xdr:spPr>
    </xdr:pic>
    <xdr:clientData/>
  </xdr:twoCellAnchor>
  <xdr:twoCellAnchor editAs="oneCell">
    <xdr:from>
      <xdr:col>5</xdr:col>
      <xdr:colOff>85725</xdr:colOff>
      <xdr:row>0</xdr:row>
      <xdr:rowOff>161925</xdr:rowOff>
    </xdr:from>
    <xdr:to>
      <xdr:col>5</xdr:col>
      <xdr:colOff>447675</xdr:colOff>
      <xdr:row>2</xdr:row>
      <xdr:rowOff>142875</xdr:rowOff>
    </xdr:to>
    <xdr:pic>
      <xdr:nvPicPr>
        <xdr:cNvPr id="49" name="Graphic 48" descr="Inpatient with solid fill">
          <a:extLst>
            <a:ext uri="{FF2B5EF4-FFF2-40B4-BE49-F238E27FC236}">
              <a16:creationId xmlns:a16="http://schemas.microsoft.com/office/drawing/2014/main" id="{9AC01676-0244-4C0A-9086-4567EFFF53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33725" y="161925"/>
          <a:ext cx="361950" cy="361950"/>
        </a:xfrm>
        <a:prstGeom prst="rect">
          <a:avLst/>
        </a:prstGeom>
      </xdr:spPr>
    </xdr:pic>
    <xdr:clientData/>
  </xdr:twoCellAnchor>
  <xdr:twoCellAnchor>
    <xdr:from>
      <xdr:col>7</xdr:col>
      <xdr:colOff>542925</xdr:colOff>
      <xdr:row>0</xdr:row>
      <xdr:rowOff>76200</xdr:rowOff>
    </xdr:from>
    <xdr:to>
      <xdr:col>16</xdr:col>
      <xdr:colOff>304800</xdr:colOff>
      <xdr:row>4</xdr:row>
      <xdr:rowOff>28575</xdr:rowOff>
    </xdr:to>
    <xdr:sp macro="" textlink="">
      <xdr:nvSpPr>
        <xdr:cNvPr id="50" name="Rectangle 49">
          <a:extLst>
            <a:ext uri="{FF2B5EF4-FFF2-40B4-BE49-F238E27FC236}">
              <a16:creationId xmlns:a16="http://schemas.microsoft.com/office/drawing/2014/main" id="{D5EE7054-6FC6-46DF-860A-7D615CDB7138}"/>
            </a:ext>
          </a:extLst>
        </xdr:cNvPr>
        <xdr:cNvSpPr/>
      </xdr:nvSpPr>
      <xdr:spPr>
        <a:xfrm>
          <a:off x="4810125" y="76200"/>
          <a:ext cx="5248275" cy="71437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504825</xdr:colOff>
      <xdr:row>0</xdr:row>
      <xdr:rowOff>28575</xdr:rowOff>
    </xdr:from>
    <xdr:to>
      <xdr:col>9</xdr:col>
      <xdr:colOff>66675</xdr:colOff>
      <xdr:row>4</xdr:row>
      <xdr:rowOff>47625</xdr:rowOff>
    </xdr:to>
    <xdr:pic>
      <xdr:nvPicPr>
        <xdr:cNvPr id="52" name="Graphic 51" descr="Hospital with solid fill">
          <a:extLst>
            <a:ext uri="{FF2B5EF4-FFF2-40B4-BE49-F238E27FC236}">
              <a16:creationId xmlns:a16="http://schemas.microsoft.com/office/drawing/2014/main" id="{FCBC2D0A-9B42-7742-4F72-C1328C6B7BA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772025" y="28575"/>
          <a:ext cx="781050" cy="781050"/>
        </a:xfrm>
        <a:prstGeom prst="rect">
          <a:avLst/>
        </a:prstGeom>
      </xdr:spPr>
    </xdr:pic>
    <xdr:clientData/>
  </xdr:twoCellAnchor>
  <xdr:oneCellAnchor>
    <xdr:from>
      <xdr:col>8</xdr:col>
      <xdr:colOff>285749</xdr:colOff>
      <xdr:row>0</xdr:row>
      <xdr:rowOff>28575</xdr:rowOff>
    </xdr:from>
    <xdr:ext cx="4991101" cy="819150"/>
    <xdr:sp macro="" textlink="'Pivot Tables'!D2">
      <xdr:nvSpPr>
        <xdr:cNvPr id="53" name="TextBox 52">
          <a:extLst>
            <a:ext uri="{FF2B5EF4-FFF2-40B4-BE49-F238E27FC236}">
              <a16:creationId xmlns:a16="http://schemas.microsoft.com/office/drawing/2014/main" id="{33936A06-DA4D-4729-9982-AC407DE08D90}"/>
            </a:ext>
          </a:extLst>
        </xdr:cNvPr>
        <xdr:cNvSpPr txBox="1"/>
      </xdr:nvSpPr>
      <xdr:spPr>
        <a:xfrm>
          <a:off x="5162549" y="28575"/>
          <a:ext cx="4991101"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i="0" u="none" strike="noStrike">
              <a:solidFill>
                <a:schemeClr val="tx1"/>
              </a:solidFill>
              <a:latin typeface="Times New Roman" panose="02020603050405020304" pitchFamily="18" charset="0"/>
              <a:cs typeface="Times New Roman" panose="02020603050405020304" pitchFamily="18" charset="0"/>
            </a:rPr>
            <a:t>Hospital Emergency Room </a:t>
          </a:r>
        </a:p>
        <a:p>
          <a:pPr algn="ctr"/>
          <a:r>
            <a:rPr lang="en-US" sz="2400" b="1" i="0" u="none" strike="noStrike">
              <a:solidFill>
                <a:schemeClr val="tx1"/>
              </a:solidFill>
              <a:latin typeface="Times New Roman" panose="02020603050405020304" pitchFamily="18" charset="0"/>
              <a:cs typeface="Times New Roman" panose="02020603050405020304" pitchFamily="18" charset="0"/>
            </a:rPr>
            <a:t>Dashboard</a:t>
          </a:r>
        </a:p>
      </xdr:txBody>
    </xdr:sp>
    <xdr:clientData/>
  </xdr:oneCellAnchor>
  <xdr:oneCellAnchor>
    <xdr:from>
      <xdr:col>13</xdr:col>
      <xdr:colOff>381000</xdr:colOff>
      <xdr:row>4</xdr:row>
      <xdr:rowOff>66675</xdr:rowOff>
    </xdr:from>
    <xdr:ext cx="543739" cy="298800"/>
    <xdr:sp macro="" textlink="">
      <xdr:nvSpPr>
        <xdr:cNvPr id="55" name="TextBox 54">
          <a:extLst>
            <a:ext uri="{FF2B5EF4-FFF2-40B4-BE49-F238E27FC236}">
              <a16:creationId xmlns:a16="http://schemas.microsoft.com/office/drawing/2014/main" id="{68F6CFF9-3D1F-479D-A3DE-FC371678EBF0}"/>
            </a:ext>
          </a:extLst>
        </xdr:cNvPr>
        <xdr:cNvSpPr txBox="1"/>
      </xdr:nvSpPr>
      <xdr:spPr>
        <a:xfrm>
          <a:off x="8305800" y="828675"/>
          <a:ext cx="54373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2024</a:t>
          </a:r>
        </a:p>
      </xdr:txBody>
    </xdr:sp>
    <xdr:clientData/>
  </xdr:oneCellAnchor>
  <xdr:oneCellAnchor>
    <xdr:from>
      <xdr:col>13</xdr:col>
      <xdr:colOff>457200</xdr:colOff>
      <xdr:row>7</xdr:row>
      <xdr:rowOff>38100</xdr:rowOff>
    </xdr:from>
    <xdr:ext cx="453970" cy="298800"/>
    <xdr:sp macro="" textlink="'Pivot Tables'!C83">
      <xdr:nvSpPr>
        <xdr:cNvPr id="56" name="TextBox 55">
          <a:extLst>
            <a:ext uri="{FF2B5EF4-FFF2-40B4-BE49-F238E27FC236}">
              <a16:creationId xmlns:a16="http://schemas.microsoft.com/office/drawing/2014/main" id="{30021A7B-B266-46DD-92B4-A4F9663B716F}"/>
            </a:ext>
          </a:extLst>
        </xdr:cNvPr>
        <xdr:cNvSpPr txBox="1"/>
      </xdr:nvSpPr>
      <xdr:spPr>
        <a:xfrm>
          <a:off x="8382000" y="1371600"/>
          <a:ext cx="45397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F3FCC3-8243-4564-AB89-D86C67E5457C}" type="TxLink">
            <a:rPr lang="en-US" sz="1400" b="0" i="0" u="none" strike="noStrike">
              <a:solidFill>
                <a:schemeClr val="tx1"/>
              </a:solidFill>
              <a:latin typeface="Times New Roman" panose="02020603050405020304" pitchFamily="18" charset="0"/>
              <a:cs typeface="Times New Roman" panose="02020603050405020304" pitchFamily="18" charset="0"/>
            </a:rPr>
            <a:pPr/>
            <a:t>252</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447675</xdr:colOff>
      <xdr:row>5</xdr:row>
      <xdr:rowOff>152400</xdr:rowOff>
    </xdr:from>
    <xdr:ext cx="453970" cy="298800"/>
    <xdr:sp macro="" textlink="'Pivot Tables'!C84">
      <xdr:nvSpPr>
        <xdr:cNvPr id="57" name="TextBox 56">
          <a:extLst>
            <a:ext uri="{FF2B5EF4-FFF2-40B4-BE49-F238E27FC236}">
              <a16:creationId xmlns:a16="http://schemas.microsoft.com/office/drawing/2014/main" id="{9CB262BE-558D-49F1-BFC4-D49B4B578B20}"/>
            </a:ext>
          </a:extLst>
        </xdr:cNvPr>
        <xdr:cNvSpPr txBox="1"/>
      </xdr:nvSpPr>
      <xdr:spPr>
        <a:xfrm>
          <a:off x="8372475" y="1104900"/>
          <a:ext cx="45397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12D943D-3198-472C-A733-4DFDC12E1703}" type="TxLink">
            <a:rPr lang="en-US" sz="1400" b="0" i="0" u="none" strike="noStrike">
              <a:solidFill>
                <a:schemeClr val="tx1"/>
              </a:solidFill>
              <a:latin typeface="Times New Roman" panose="02020603050405020304" pitchFamily="18" charset="0"/>
              <a:cs typeface="Times New Roman" panose="02020603050405020304" pitchFamily="18" charset="0"/>
            </a:rPr>
            <a:pPr/>
            <a:t>217</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14</xdr:col>
      <xdr:colOff>581025</xdr:colOff>
      <xdr:row>4</xdr:row>
      <xdr:rowOff>47625</xdr:rowOff>
    </xdr:from>
    <xdr:ext cx="822726" cy="298800"/>
    <xdr:sp macro="" textlink="'Pivot Tables'!B83">
      <xdr:nvSpPr>
        <xdr:cNvPr id="58" name="TextBox 57">
          <a:extLst>
            <a:ext uri="{FF2B5EF4-FFF2-40B4-BE49-F238E27FC236}">
              <a16:creationId xmlns:a16="http://schemas.microsoft.com/office/drawing/2014/main" id="{761C5E29-08BB-44FC-9BE8-4878254BBC50}"/>
            </a:ext>
          </a:extLst>
        </xdr:cNvPr>
        <xdr:cNvSpPr txBox="1"/>
      </xdr:nvSpPr>
      <xdr:spPr>
        <a:xfrm>
          <a:off x="9115425" y="809625"/>
          <a:ext cx="82272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Average</a:t>
          </a:r>
        </a:p>
      </xdr:txBody>
    </xdr:sp>
    <xdr:clientData/>
  </xdr:oneCellAnchor>
  <xdr:oneCellAnchor>
    <xdr:from>
      <xdr:col>12</xdr:col>
      <xdr:colOff>104775</xdr:colOff>
      <xdr:row>5</xdr:row>
      <xdr:rowOff>161925</xdr:rowOff>
    </xdr:from>
    <xdr:ext cx="648383" cy="298800"/>
    <xdr:sp macro="" textlink="'Pivot Tables'!E84">
      <xdr:nvSpPr>
        <xdr:cNvPr id="59" name="TextBox 58">
          <a:extLst>
            <a:ext uri="{FF2B5EF4-FFF2-40B4-BE49-F238E27FC236}">
              <a16:creationId xmlns:a16="http://schemas.microsoft.com/office/drawing/2014/main" id="{689439BD-6DE2-44F8-A057-D70F4D207607}"/>
            </a:ext>
          </a:extLst>
        </xdr:cNvPr>
        <xdr:cNvSpPr txBox="1"/>
      </xdr:nvSpPr>
      <xdr:spPr>
        <a:xfrm>
          <a:off x="7419975" y="1114425"/>
          <a:ext cx="64838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9557BF-4097-42EF-9E71-BE62CB88E87C}" type="TxLink">
            <a:rPr lang="en-US" sz="1400" b="0" i="0" u="none" strike="noStrike">
              <a:solidFill>
                <a:schemeClr val="tx1"/>
              </a:solidFill>
              <a:latin typeface="Times New Roman" panose="02020603050405020304" pitchFamily="18" charset="0"/>
              <a:cs typeface="Times New Roman" panose="02020603050405020304" pitchFamily="18" charset="0"/>
            </a:rPr>
            <a:pPr/>
            <a:t>49.5%</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95250</xdr:colOff>
      <xdr:row>7</xdr:row>
      <xdr:rowOff>38100</xdr:rowOff>
    </xdr:from>
    <xdr:ext cx="648383" cy="298800"/>
    <xdr:sp macro="" textlink="'Pivot Tables'!E83">
      <xdr:nvSpPr>
        <xdr:cNvPr id="60" name="TextBox 59">
          <a:extLst>
            <a:ext uri="{FF2B5EF4-FFF2-40B4-BE49-F238E27FC236}">
              <a16:creationId xmlns:a16="http://schemas.microsoft.com/office/drawing/2014/main" id="{67A9801C-82DD-43B3-858E-B1B5E4F642D6}"/>
            </a:ext>
          </a:extLst>
        </xdr:cNvPr>
        <xdr:cNvSpPr txBox="1"/>
      </xdr:nvSpPr>
      <xdr:spPr>
        <a:xfrm>
          <a:off x="7410450" y="1371600"/>
          <a:ext cx="64838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443CEF8-7FF2-4F78-9715-D0E9AE740E41}" type="TxLink">
            <a:rPr lang="en-US" sz="1400" b="0" i="0" u="none" strike="noStrike">
              <a:solidFill>
                <a:schemeClr val="tx1"/>
              </a:solidFill>
              <a:latin typeface="Times New Roman" panose="02020603050405020304" pitchFamily="18" charset="0"/>
              <a:cs typeface="Times New Roman" panose="02020603050405020304" pitchFamily="18" charset="0"/>
            </a:rPr>
            <a:pPr/>
            <a:t>50.5%</a:t>
          </a:fld>
          <a:endParaRPr lang="en-IN" sz="1400" b="0">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495300</xdr:colOff>
      <xdr:row>11</xdr:row>
      <xdr:rowOff>123825</xdr:rowOff>
    </xdr:from>
    <xdr:ext cx="184731" cy="264560"/>
    <xdr:sp macro="" textlink="">
      <xdr:nvSpPr>
        <xdr:cNvPr id="3" name="TextBox 2">
          <a:extLst>
            <a:ext uri="{FF2B5EF4-FFF2-40B4-BE49-F238E27FC236}">
              <a16:creationId xmlns:a16="http://schemas.microsoft.com/office/drawing/2014/main" id="{0AB57512-097A-1DF4-9E64-F797B8A806E4}"/>
            </a:ext>
          </a:extLst>
        </xdr:cNvPr>
        <xdr:cNvSpPr txBox="1"/>
      </xdr:nvSpPr>
      <xdr:spPr>
        <a:xfrm>
          <a:off x="9639300" y="2219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c:userShapes xmlns:c="http://schemas.openxmlformats.org/drawingml/2006/chart">
  <cdr:relSizeAnchor xmlns:cdr="http://schemas.openxmlformats.org/drawingml/2006/chartDrawing">
    <cdr:from>
      <cdr:x>0.37454</cdr:x>
      <cdr:y>0.00133</cdr:y>
    </cdr:from>
    <cdr:to>
      <cdr:x>0.63863</cdr:x>
      <cdr:y>0.11397</cdr:y>
    </cdr:to>
    <cdr:sp macro="" textlink="">
      <cdr:nvSpPr>
        <cdr:cNvPr id="2" name="TextBox 32">
          <a:extLst xmlns:a="http://schemas.openxmlformats.org/drawingml/2006/main">
            <a:ext uri="{FF2B5EF4-FFF2-40B4-BE49-F238E27FC236}">
              <a16:creationId xmlns:a16="http://schemas.microsoft.com/office/drawing/2014/main" id="{A583B2C7-C2E0-DB0A-653D-8DAF8989C37F}"/>
            </a:ext>
          </a:extLst>
        </cdr:cNvPr>
        <cdr:cNvSpPr txBox="1"/>
      </cdr:nvSpPr>
      <cdr:spPr>
        <a:xfrm xmlns:a="http://schemas.openxmlformats.org/drawingml/2006/main">
          <a:off x="1298575" y="3175"/>
          <a:ext cx="915635" cy="26930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200" b="1">
              <a:latin typeface="Times New Roman" panose="02020603050405020304" pitchFamily="18" charset="0"/>
              <a:cs typeface="Times New Roman" panose="02020603050405020304" pitchFamily="18" charset="0"/>
            </a:rPr>
            <a:t>Age Group</a:t>
          </a:r>
        </a:p>
      </cdr:txBody>
    </cdr:sp>
  </cdr:relSizeAnchor>
</c:userShapes>
</file>

<file path=xl/drawings/drawing4.xml><?xml version="1.0" encoding="utf-8"?>
<c:userShapes xmlns:c="http://schemas.openxmlformats.org/drawingml/2006/chart">
  <cdr:relSizeAnchor xmlns:cdr="http://schemas.openxmlformats.org/drawingml/2006/chartDrawing">
    <cdr:from>
      <cdr:x>0.37965</cdr:x>
      <cdr:y>0.00134</cdr:y>
    </cdr:from>
    <cdr:to>
      <cdr:x>0.65984</cdr:x>
      <cdr:y>0.11489</cdr:y>
    </cdr:to>
    <cdr:sp macro="" textlink="">
      <cdr:nvSpPr>
        <cdr:cNvPr id="2" name="TextBox 32">
          <a:extLst xmlns:a="http://schemas.openxmlformats.org/drawingml/2006/main">
            <a:ext uri="{FF2B5EF4-FFF2-40B4-BE49-F238E27FC236}">
              <a16:creationId xmlns:a16="http://schemas.microsoft.com/office/drawing/2014/main" id="{3D629D00-3EEE-2136-F32F-B61C60A7F34A}"/>
            </a:ext>
          </a:extLst>
        </cdr:cNvPr>
        <cdr:cNvSpPr txBox="1"/>
      </cdr:nvSpPr>
      <cdr:spPr>
        <a:xfrm xmlns:a="http://schemas.openxmlformats.org/drawingml/2006/main">
          <a:off x="1327150" y="3175"/>
          <a:ext cx="979435" cy="26930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200" b="1">
              <a:latin typeface="Times New Roman" panose="02020603050405020304" pitchFamily="18" charset="0"/>
              <a:cs typeface="Times New Roman" panose="02020603050405020304" pitchFamily="18" charset="0"/>
            </a:rPr>
            <a:t>Department</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7.392095254632" createdVersion="5" refreshedVersion="8" minRefreshableVersion="3" recordCount="0" supportSubquery="1" supportAdvancedDrill="1" xr:uid="{D7859D13-B080-476F-943F-35E00DA7A7BA}">
  <cacheSource type="external" connectionId="3"/>
  <cacheFields count="3">
    <cacheField name="[Dataset  2].[Date (Year)].[Date (Year)]" caption="Date (Year)" numFmtId="0" hierarchy="14" level="1">
      <sharedItems count="2">
        <s v="2023"/>
        <s v="2024"/>
      </sharedItems>
    </cacheField>
    <cacheField name="[Measures].[Count of Patient Id]" caption="Count of Patient Id" numFmtId="0" hierarchy="22" level="32767"/>
    <cacheField name="[Dataset  2].[Date (Month)].[Date (Month)]" caption="Date (Month)" numFmtId="0" hierarchy="16"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0"/>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2"/>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7.392096527779" createdVersion="5" refreshedVersion="8" minRefreshableVersion="3" recordCount="0" supportSubquery="1" supportAdvancedDrill="1" xr:uid="{357AA169-E751-4FB9-95B3-C3F40AE57754}">
  <cacheSource type="external" connectionId="3"/>
  <cacheFields count="2">
    <cacheField name="[Dataset  2].[Date (Year)].[Date (Year)]" caption="Date (Year)" numFmtId="0" hierarchy="14" level="1">
      <sharedItems count="2">
        <s v="2023"/>
        <s v="2024"/>
      </sharedItems>
    </cacheField>
    <cacheField name="[Dataset  2].[Date (Month)].[Date (Month)]" caption="Date (Month)" numFmtId="0" hierarchy="16"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0"/>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1"/>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037499996" createdVersion="5" refreshedVersion="8" minRefreshableVersion="3" recordCount="0" supportSubquery="1" supportAdvancedDrill="1" xr:uid="{E3285787-02C5-4D06-9E0D-8985CFF7F647}">
  <cacheSource type="external" connectionId="3"/>
  <cacheFields count="2">
    <cacheField name="[Dataset  2].[Date (Month)].[Date (Month)]" caption="Date (Month)" numFmtId="0" hierarchy="16" level="1">
      <sharedItems count="6">
        <s v="Jan"/>
        <s v="Feb"/>
        <s v="Sep"/>
        <s v="Oct"/>
        <s v="Nov"/>
        <s v="Dec"/>
      </sharedItems>
    </cacheField>
    <cacheField name="[Measures].[Count of Patient Id]" caption="Count of Patient Id" numFmtId="0" hierarchy="22" level="32767"/>
  </cacheFields>
  <cacheHierarchies count="30">
    <cacheHierarchy uniqueName="[Calender_Table].[Date]" caption="Date" attribute="1" time="1" defaultMemberUniqueName="[Calender_Table].[Date].[All]" allUniqueName="[Calender_Table].[Date].[All]" dimensionUniqueName="[Calender_Table]" displayFolder="" count="2" memberValueDatatype="7" unbalanced="0"/>
    <cacheHierarchy uniqueName="[Dataset  2].[Patient Id]" caption="Patient Id" attribute="1" defaultMemberUniqueName="[Dataset  2].[Patient Id].[All]" allUniqueName="[Dataset  2].[Patient Id].[All]" dimensionUniqueName="[Dataset  2]" displayFolder="" count="2" memberValueDatatype="130" unbalanced="0"/>
    <cacheHierarchy uniqueName="[Dataset  2].[Date]" caption="Date" attribute="1" time="1" defaultMemberUniqueName="[Dataset  2].[Date].[All]" allUniqueName="[Dataset  2].[Date].[All]" dimensionUniqueName="[Dataset  2]" displayFolder="" count="2" memberValueDatatype="7" unbalanced="0"/>
    <cacheHierarchy uniqueName="[Dataset  2].[Time]" caption="Time" attribute="1" time="1" defaultMemberUniqueName="[Dataset  2].[Time].[All]" allUniqueName="[Dataset  2].[Time].[All]" dimensionUniqueName="[Dataset  2]" displayFolder="" count="2" memberValueDatatype="7" unbalanced="0"/>
    <cacheHierarchy uniqueName="[Dataset  2].[Merged]" caption="Merged" attribute="1" defaultMemberUniqueName="[Dataset  2].[Merged].[All]" allUniqueName="[Dataset  2].[Merged].[All]" dimensionUniqueName="[Dataset  2]" displayFolder="" count="2" memberValueDatatype="130" unbalanced="0"/>
    <cacheHierarchy uniqueName="[Dataset  2].[Patient Gender]" caption="Patient Gender" attribute="1" defaultMemberUniqueName="[Dataset  2].[Patient Gender].[All]" allUniqueName="[Dataset  2].[Patient Gender].[All]" dimensionUniqueName="[Dataset  2]" displayFolder="" count="2" memberValueDatatype="130" unbalanced="0"/>
    <cacheHierarchy uniqueName="[Dataset  2].[Patient Age]" caption="Patient Age" attribute="1" defaultMemberUniqueName="[Dataset  2].[Patient Age].[All]" allUniqueName="[Dataset  2].[Patient Age].[All]" dimensionUniqueName="[Dataset  2]" displayFolder="" count="2" memberValueDatatype="20" unbalanced="0"/>
    <cacheHierarchy uniqueName="[Dataset  2].[Patient Race]" caption="Patient Race" attribute="1" defaultMemberUniqueName="[Dataset  2].[Patient Race].[All]" allUniqueName="[Dataset  2].[Patient Race].[All]" dimensionUniqueName="[Dataset  2]" displayFolder="" count="2" memberValueDatatype="130" unbalanced="0"/>
    <cacheHierarchy uniqueName="[Dataset  2].[Department Referral]" caption="Department Referral" attribute="1" defaultMemberUniqueName="[Dataset  2].[Department Referral].[All]" allUniqueName="[Dataset  2].[Department Referral].[All]" dimensionUniqueName="[Dataset  2]" displayFolder="" count="2"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2"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2" memberValueDatatype="20" unbalanced="0"/>
    <cacheHierarchy uniqueName="[Dataset  2].[Patient Waittime]" caption="Patient Waittime" attribute="1" defaultMemberUniqueName="[Dataset  2].[Patient Waittime].[All]" allUniqueName="[Dataset  2].[Patient Waittime].[All]" dimensionUniqueName="[Dataset  2]" displayFolder="" count="2" memberValueDatatype="20" unbalanced="0"/>
    <cacheHierarchy uniqueName="[Dataset  2].[Age Gap]" caption="Age Gap" attribute="1" defaultMemberUniqueName="[Dataset  2].[Age Gap].[All]" allUniqueName="[Dataset  2].[Age Gap].[All]" dimensionUniqueName="[Dataset  2]" displayFolder="" count="2" memberValueDatatype="130" unbalanced="0"/>
    <cacheHierarchy uniqueName="[Dataset  2].[Waittime]" caption="Waittime" attribute="1" defaultMemberUniqueName="[Dataset  2].[Waittime].[All]" allUniqueName="[Dataset  2].[Waittime].[All]" dimensionUniqueName="[Dataset  2]" displayFolder="" count="2" memberValueDatatype="130" unbalanced="0"/>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2"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2" memberValueDatatype="20" unbalanced="0"/>
    <cacheHierarchy uniqueName="[Dataset  2].[Date (Month Index)]" caption="Date (Month Index)" attribute="1" defaultMemberUniqueName="[Dataset  2].[Date (Month Index)].[All]" allUniqueName="[Dataset  2].[Date (Month Index)].[All]" dimensionUniqueName="[Dataset  2]" displayFolder="" count="2"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6319446" createdVersion="5" refreshedVersion="8" minRefreshableVersion="3" recordCount="0" supportSubquery="1" supportAdvancedDrill="1" xr:uid="{D17E36B3-7823-45FE-8A40-4BBC25F28D64}">
  <cacheSource type="external" connectionId="3"/>
  <cacheFields count="3">
    <cacheField name="[Dataset  2].[Date (Year)].[Date (Year)]" caption="Date (Year)" numFmtId="0" hierarchy="14" level="1">
      <sharedItems count="1">
        <s v="2024"/>
      </sharedItems>
    </cacheField>
    <cacheField name="[Dataset  2].[Date (Month)].[Date (Month)]" caption="Date (Month)" numFmtId="0" hierarchy="16" level="1">
      <sharedItems count="1">
        <s v="Apr"/>
      </sharedItems>
    </cacheField>
    <cacheField name="[Measures].[Count of Patient Id]" caption="Count of Patient Id" numFmtId="0" hierarchy="22" level="32767"/>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0"/>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1"/>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6782408" createdVersion="5" refreshedVersion="8" minRefreshableVersion="3" recordCount="0" supportSubquery="1" supportAdvancedDrill="1" xr:uid="{4172A7DB-3FD2-4201-8FFC-F98ACD122517}">
  <cacheSource type="external" connectionId="3"/>
  <cacheFields count="4">
    <cacheField name="[Dataset  2].[Date (Year)].[Date (Year)]" caption="Date (Year)" numFmtId="0" hierarchy="14" level="1">
      <sharedItems count="2">
        <s v="2023"/>
        <s v="2024"/>
      </sharedItems>
    </cacheField>
    <cacheField name="[Dataset  2].[Date (Month)].[Date (Month)]" caption="Date (Month)" numFmtId="0" hierarchy="16" level="1">
      <sharedItems containsSemiMixedTypes="0" containsNonDate="0" containsString="0"/>
    </cacheField>
    <cacheField name="[Dataset  2].[Age Gap].[Age Gap]" caption="Age Gap" numFmtId="0" hierarchy="12" level="1">
      <sharedItems count="8">
        <s v="0-9"/>
        <s v="10-19"/>
        <s v="20-29"/>
        <s v="30-39"/>
        <s v="40-49"/>
        <s v="50-59"/>
        <s v="60-69"/>
        <s v="70-79"/>
      </sharedItems>
    </cacheField>
    <cacheField name="[Measures].[Count of Age Gap]" caption="Count of Age Gap" numFmtId="0" hierarchy="29" level="32767"/>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2" memberValueDatatype="130" unbalanced="0">
      <fieldsUsage count="2">
        <fieldUsage x="-1"/>
        <fieldUsage x="2"/>
      </fieldsUsage>
    </cacheHierarchy>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0"/>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1"/>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7129631" createdVersion="5" refreshedVersion="8" minRefreshableVersion="3" recordCount="0" supportSubquery="1" supportAdvancedDrill="1" xr:uid="{A089995A-B39C-41B6-BF18-BB680EE280A4}">
  <cacheSource type="external" connectionId="3"/>
  <cacheFields count="4">
    <cacheField name="[Dataset  2].[Date (Month)].[Date (Month)]" caption="Date (Month)" numFmtId="0" hierarchy="16" level="1">
      <sharedItems containsSemiMixedTypes="0" containsNonDate="0" containsString="0"/>
    </cacheField>
    <cacheField name="[Dataset  2].[Department Referral].[Department Referral]" caption="Department Referral" numFmtId="0" hierarchy="8" level="1">
      <sharedItems count="8">
        <s v="Cardiology"/>
        <s v="Gastroenterology"/>
        <s v="General Practice"/>
        <s v="Neurology"/>
        <s v="None"/>
        <s v="Orthopedics"/>
        <s v="Physiotherapy"/>
        <s v="Renal"/>
      </sharedItems>
    </cacheField>
    <cacheField name="[Measures].[Count of Department Referral]" caption="Count of Department Referral" numFmtId="0" hierarchy="23" level="32767"/>
    <cacheField name="[Dataset  2].[Date (Year)].[Date (Year)]" caption="Date (Year)" numFmtId="0" hierarchy="14" level="1">
      <sharedItems count="2">
        <s v="2023"/>
        <s v="2024"/>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2" memberValueDatatype="130" unbalanced="0">
      <fieldsUsage count="2">
        <fieldUsage x="-1"/>
        <fieldUsage x="1"/>
      </fieldsUsage>
    </cacheHierarchy>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3"/>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7476854" createdVersion="5" refreshedVersion="8" minRefreshableVersion="3" recordCount="0" supportSubquery="1" supportAdvancedDrill="1" xr:uid="{670878FB-FEE4-4C07-8FF2-C5ECD6D4AD85}">
  <cacheSource type="external" connectionId="3"/>
  <cacheFields count="3">
    <cacheField name="[Dataset  2].[Date (Month)].[Date (Month)]" caption="Date (Month)" numFmtId="0" hierarchy="16" level="1">
      <sharedItems containsSemiMixedTypes="0" containsNonDate="0" containsString="0"/>
    </cacheField>
    <cacheField name="[Measures].[Count of Patient Id]" caption="Count of Patient Id" numFmtId="0" hierarchy="22" level="32767"/>
    <cacheField name="[Dataset  2].[Date].[Date]" caption="Date" numFmtId="0" hierarchy="2"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2" memberValueDatatype="7" unbalanced="0">
      <fieldsUsage count="2">
        <fieldUsage x="-1"/>
        <fieldUsage x="2"/>
      </fieldsUsage>
    </cacheHierarchy>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7939816" createdVersion="5" refreshedVersion="8" minRefreshableVersion="3" recordCount="0" supportSubquery="1" supportAdvancedDrill="1" xr:uid="{DAE43D86-0FAD-4021-A80D-D092C3E8F1CD}">
  <cacheSource type="external" connectionId="3"/>
  <cacheFields count="3">
    <cacheField name="[Dataset  2].[Date (Month)].[Date (Month)]" caption="Date (Month)" numFmtId="0" hierarchy="16" level="1">
      <sharedItems containsSemiMixedTypes="0" containsNonDate="0" containsString="0"/>
    </cacheField>
    <cacheField name="[Dataset  2].[Waittime].[Waittime]" caption="Waittime" numFmtId="0" hierarchy="13" level="1">
      <sharedItems count="2">
        <s v="Delay"/>
        <s v="Ontime"/>
      </sharedItems>
    </cacheField>
    <cacheField name="[Measures].[Count of Waittime]" caption="Count of Waittime" numFmtId="0" hierarchy="24" level="32767"/>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2" memberValueDatatype="130" unbalanced="0">
      <fieldsUsage count="2">
        <fieldUsage x="-1"/>
        <fieldUsage x="1"/>
      </fieldsUsage>
    </cacheHierarchy>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8287039" createdVersion="5" refreshedVersion="8" minRefreshableVersion="3" recordCount="0" supportSubquery="1" supportAdvancedDrill="1" xr:uid="{B6C544AE-3133-4B3F-9BFE-B29628C16882}">
  <cacheSource type="external" connectionId="3"/>
  <cacheFields count="4">
    <cacheField name="[Dataset  2].[Date (Month)].[Date (Month)]" caption="Date (Month)" numFmtId="0" hierarchy="16" level="1">
      <sharedItems containsSemiMixedTypes="0" containsNonDate="0" containsString="0"/>
    </cacheField>
    <cacheField name="[Dataset  2].[Patient Gender].[Patient Gender]" caption="Patient Gender" numFmtId="0" hierarchy="5" level="1">
      <sharedItems count="2">
        <s v="Female"/>
        <s v="Male"/>
      </sharedItems>
    </cacheField>
    <cacheField name="[Measures].[Count of Patient Gender]" caption="Count of Patient Gender" numFmtId="0" hierarchy="25" level="32767"/>
    <cacheField name="[Dataset  2].[Date (Year)].[Date (Year)]" caption="Date (Year)" numFmtId="0" hierarchy="14" level="1">
      <sharedItems count="1">
        <s v="2023"/>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2" memberValueDatatype="130" unbalanced="0">
      <fieldsUsage count="2">
        <fieldUsage x="-1"/>
        <fieldUsage x="1"/>
      </fieldsUsage>
    </cacheHierarchy>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3"/>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8981478" createdVersion="5" refreshedVersion="8" minRefreshableVersion="3" recordCount="0" supportSubquery="1" supportAdvancedDrill="1" xr:uid="{471F6625-81E2-4885-B0DA-A3831370E662}">
  <cacheSource type="external" connectionId="3"/>
  <cacheFields count="3">
    <cacheField name="[Dataset  2].[Date (Month)].[Date (Month)]" caption="Date (Month)" numFmtId="0" hierarchy="16" level="1">
      <sharedItems containsSemiMixedTypes="0" containsNonDate="0" containsString="0"/>
    </cacheField>
    <cacheField name="[Dataset  2].[Patient Waittime].[Patient Waittime]" caption="Patient Waittime" numFmtId="0" hierarchy="11"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Dataset  2].[Patient Waittime].&amp;[10]"/>
            <x15:cachedUniqueName index="1" name="[Dataset  2].[Patient Waittime].&amp;[11]"/>
            <x15:cachedUniqueName index="2" name="[Dataset  2].[Patient Waittime].&amp;[12]"/>
            <x15:cachedUniqueName index="3" name="[Dataset  2].[Patient Waittime].&amp;[13]"/>
            <x15:cachedUniqueName index="4" name="[Dataset  2].[Patient Waittime].&amp;[14]"/>
            <x15:cachedUniqueName index="5" name="[Dataset  2].[Patient Waittime].&amp;[15]"/>
            <x15:cachedUniqueName index="6" name="[Dataset  2].[Patient Waittime].&amp;[16]"/>
            <x15:cachedUniqueName index="7" name="[Dataset  2].[Patient Waittime].&amp;[17]"/>
            <x15:cachedUniqueName index="8" name="[Dataset  2].[Patient Waittime].&amp;[18]"/>
            <x15:cachedUniqueName index="9" name="[Dataset  2].[Patient Waittime].&amp;[19]"/>
            <x15:cachedUniqueName index="10" name="[Dataset  2].[Patient Waittime].&amp;[20]"/>
            <x15:cachedUniqueName index="11" name="[Dataset  2].[Patient Waittime].&amp;[21]"/>
            <x15:cachedUniqueName index="12" name="[Dataset  2].[Patient Waittime].&amp;[22]"/>
            <x15:cachedUniqueName index="13" name="[Dataset  2].[Patient Waittime].&amp;[23]"/>
            <x15:cachedUniqueName index="14" name="[Dataset  2].[Patient Waittime].&amp;[24]"/>
            <x15:cachedUniqueName index="15" name="[Dataset  2].[Patient Waittime].&amp;[25]"/>
            <x15:cachedUniqueName index="16" name="[Dataset  2].[Patient Waittime].&amp;[26]"/>
            <x15:cachedUniqueName index="17" name="[Dataset  2].[Patient Waittime].&amp;[27]"/>
            <x15:cachedUniqueName index="18" name="[Dataset  2].[Patient Waittime].&amp;[28]"/>
            <x15:cachedUniqueName index="19" name="[Dataset  2].[Patient Waittime].&amp;[29]"/>
            <x15:cachedUniqueName index="20" name="[Dataset  2].[Patient Waittime].&amp;[30]"/>
            <x15:cachedUniqueName index="21" name="[Dataset  2].[Patient Waittime].&amp;[31]"/>
            <x15:cachedUniqueName index="22" name="[Dataset  2].[Patient Waittime].&amp;[32]"/>
            <x15:cachedUniqueName index="23" name="[Dataset  2].[Patient Waittime].&amp;[33]"/>
            <x15:cachedUniqueName index="24" name="[Dataset  2].[Patient Waittime].&amp;[34]"/>
            <x15:cachedUniqueName index="25" name="[Dataset  2].[Patient Waittime].&amp;[35]"/>
            <x15:cachedUniqueName index="26" name="[Dataset  2].[Patient Waittime].&amp;[36]"/>
            <x15:cachedUniqueName index="27" name="[Dataset  2].[Patient Waittime].&amp;[37]"/>
            <x15:cachedUniqueName index="28" name="[Dataset  2].[Patient Waittime].&amp;[38]"/>
            <x15:cachedUniqueName index="29" name="[Dataset  2].[Patient Waittime].&amp;[39]"/>
            <x15:cachedUniqueName index="30" name="[Dataset  2].[Patient Waittime].&amp;[40]"/>
            <x15:cachedUniqueName index="31" name="[Dataset  2].[Patient Waittime].&amp;[41]"/>
            <x15:cachedUniqueName index="32" name="[Dataset  2].[Patient Waittime].&amp;[42]"/>
            <x15:cachedUniqueName index="33" name="[Dataset  2].[Patient Waittime].&amp;[43]"/>
            <x15:cachedUniqueName index="34" name="[Dataset  2].[Patient Waittime].&amp;[44]"/>
            <x15:cachedUniqueName index="35" name="[Dataset  2].[Patient Waittime].&amp;[45]"/>
            <x15:cachedUniqueName index="36" name="[Dataset  2].[Patient Waittime].&amp;[46]"/>
            <x15:cachedUniqueName index="37" name="[Dataset  2].[Patient Waittime].&amp;[47]"/>
            <x15:cachedUniqueName index="38" name="[Dataset  2].[Patient Waittime].&amp;[48]"/>
            <x15:cachedUniqueName index="39" name="[Dataset  2].[Patient Waittime].&amp;[49]"/>
            <x15:cachedUniqueName index="40" name="[Dataset  2].[Patient Waittime].&amp;[50]"/>
            <x15:cachedUniqueName index="41" name="[Dataset  2].[Patient Waittime].&amp;[51]"/>
            <x15:cachedUniqueName index="42" name="[Dataset  2].[Patient Waittime].&amp;[52]"/>
            <x15:cachedUniqueName index="43" name="[Dataset  2].[Patient Waittime].&amp;[53]"/>
            <x15:cachedUniqueName index="44" name="[Dataset  2].[Patient Waittime].&amp;[54]"/>
            <x15:cachedUniqueName index="45" name="[Dataset  2].[Patient Waittime].&amp;[55]"/>
            <x15:cachedUniqueName index="46" name="[Dataset  2].[Patient Waittime].&amp;[56]"/>
            <x15:cachedUniqueName index="47" name="[Dataset  2].[Patient Waittime].&amp;[57]"/>
            <x15:cachedUniqueName index="48" name="[Dataset  2].[Patient Waittime].&amp;[58]"/>
            <x15:cachedUniqueName index="49" name="[Dataset  2].[Patient Waittime].&amp;[59]"/>
            <x15:cachedUniqueName index="50" name="[Dataset  2].[Patient Waittime].&amp;[60]"/>
          </x15:cachedUniqueNames>
        </ext>
      </extLst>
    </cacheField>
    <cacheField name="[Measures].[Average of Patient Waittime]" caption="Average of Patient Waittime" numFmtId="0" hierarchy="27" level="32767"/>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2" memberValueDatatype="20" unbalanced="0">
      <fieldsUsage count="2">
        <fieldUsage x="-1"/>
        <fieldUsage x="1"/>
      </fieldsUsage>
    </cacheHierarchy>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9444448" createdVersion="5" refreshedVersion="8" minRefreshableVersion="3" recordCount="0" supportSubquery="1" supportAdvancedDrill="1" xr:uid="{95EB650F-442F-45CD-9C68-EDC437DB0D74}">
  <cacheSource type="external" connectionId="3"/>
  <cacheFields count="4">
    <cacheField name="[Dataset  2].[Date (Month)].[Date (Month)]" caption="Date (Month)" numFmtId="0" hierarchy="16" level="1">
      <sharedItems containsSemiMixedTypes="0" containsNonDate="0" containsString="0"/>
    </cacheField>
    <cacheField name="[Measures].[Count of Patient Admission Flag]" caption="Count of Patient Admission Flag" numFmtId="0" hierarchy="28" level="32767"/>
    <cacheField name="[Dataset  2].[Patient Admission Flag].[Patient Admission Flag]" caption="Patient Admission Flag" numFmtId="0" hierarchy="9" level="1">
      <sharedItems count="2">
        <b v="0"/>
        <b v="1"/>
      </sharedItems>
    </cacheField>
    <cacheField name="[Dataset  2].[Date (Year)].[Date (Year)]" caption="Date (Year)" numFmtId="0" hierarchy="14" level="1">
      <sharedItems count="2">
        <s v="2023"/>
        <s v="2024"/>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2" memberValueDatatype="11" unbalanced="0">
      <fieldsUsage count="2">
        <fieldUsage x="-1"/>
        <fieldUsage x="2"/>
      </fieldsUsage>
    </cacheHierarchy>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3"/>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1990741" createdVersion="5" refreshedVersion="8" minRefreshableVersion="3" recordCount="0" supportSubquery="1" supportAdvancedDrill="1" xr:uid="{862F6CD8-1D7D-4CE5-941C-DC3FFAEB740C}">
  <cacheSource type="external" connectionId="3"/>
  <cacheFields count="4">
    <cacheField name="[Dataset  2].[Date (Month)].[Date (Month)]" caption="Date (Month)" numFmtId="0" hierarchy="16" level="1">
      <sharedItems containsSemiMixedTypes="0" containsNonDate="0" containsString="0"/>
    </cacheField>
    <cacheField name="[Dataset  2].[Patient Gender].[Patient Gender]" caption="Patient Gender" numFmtId="0" hierarchy="5" level="1">
      <sharedItems count="2">
        <s v="Female"/>
        <s v="Male"/>
      </sharedItems>
    </cacheField>
    <cacheField name="[Measures].[Count of Patient Gender]" caption="Count of Patient Gender" numFmtId="0" hierarchy="25" level="32767"/>
    <cacheField name="[Dataset  2].[Date (Year)].[Date (Year)]" caption="Date (Year)" numFmtId="0" hierarchy="14" level="1">
      <sharedItems count="2">
        <s v="2024"/>
        <s v="2023" u="1"/>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2" memberValueDatatype="130" unbalanced="0">
      <fieldsUsage count="2">
        <fieldUsage x="-1"/>
        <fieldUsage x="1"/>
      </fieldsUsage>
    </cacheHierarchy>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3"/>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20601849" createdVersion="5" refreshedVersion="8" minRefreshableVersion="3" recordCount="0" supportSubquery="1" supportAdvancedDrill="1" xr:uid="{D64AA39A-3FC2-4E74-B35D-B579916E67A8}">
  <cacheSource type="external" connectionId="3"/>
  <cacheFields count="3">
    <cacheField name="[Dataset  2].[Date (Month)].[Date (Month)]" caption="Date (Month)" numFmtId="0" hierarchy="16" level="1">
      <sharedItems containsSemiMixedTypes="0" containsNonDate="0" containsString="0"/>
    </cacheField>
    <cacheField name="[Measures].[Count of Patient Id]" caption="Count of Patient Id" numFmtId="0" hierarchy="22" level="32767"/>
    <cacheField name="[Dataset  2].[Date].[Date]" caption="Date" numFmtId="0" hierarchy="2" level="1">
      <sharedItems containsSemiMixedTypes="0" containsNonDate="0" containsDate="1" containsString="0" minDate="2024-04-01T00:00:00" maxDate="2024-05-01T00:00:00" count="3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2" memberValueDatatype="7" unbalanced="0">
      <fieldsUsage count="2">
        <fieldUsage x="-1"/>
        <fieldUsage x="2"/>
      </fieldsUsage>
    </cacheHierarchy>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0"/>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9.599521296295" createdVersion="5" refreshedVersion="8" minRefreshableVersion="3" recordCount="0" supportSubquery="1" supportAdvancedDrill="1" xr:uid="{F7744FE4-6E18-4B55-990F-E1214D3B6C54}">
  <cacheSource type="external" connectionId="3"/>
  <cacheFields count="3">
    <cacheField name="[Dataset  2].[Date (Year)].[Date (Year)]" caption="Date (Year)" numFmtId="0" hierarchy="14" level="1">
      <sharedItems count="1">
        <s v="2023"/>
      </sharedItems>
    </cacheField>
    <cacheField name="[Dataset  2].[Date (Month)].[Date (Month)]" caption="Date (Month)" numFmtId="0" hierarchy="16" level="1">
      <sharedItems count="1">
        <s v="Apr"/>
      </sharedItems>
    </cacheField>
    <cacheField name="[Measures].[Count of Patient Id]" caption="Count of Patient Id" numFmtId="0" hierarchy="22" level="32767"/>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fieldsUsage count="2">
        <fieldUsage x="-1"/>
        <fieldUsage x="0"/>
      </fieldsUsage>
    </cacheHierarchy>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fieldsUsage count="2">
        <fieldUsage x="-1"/>
        <fieldUsage x="1"/>
      </fieldsUsage>
    </cacheHierarchy>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Dataset  2" count="0" hidden="1">
      <extLst>
        <ext xmlns:x15="http://schemas.microsoft.com/office/spreadsheetml/2010/11/main" uri="{B97F6D7D-B522-45F9-BDA1-12C45D357490}">
          <x15:cacheHierarchy aggregatedColumn="9"/>
        </ext>
      </extLst>
    </cacheHierarchy>
    <cacheHierarchy uniqueName="[Measures].[Count of Age Gap]" caption="Count of Age Gap" measure="1" displayFolder="" measureGroup="Dataset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Dataset  2" uniqueName="[Dataset  2]" caption="Dataset  2"/>
    <dimension measure="1" name="Measures" uniqueName="[Measures]" caption="Measures"/>
  </dimensions>
  <measureGroups count="2">
    <measureGroup name="Calender_Table" caption="Calender_Table"/>
    <measureGroup name="Dataset  2" caption="Dataset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al Kumar Dey" refreshedDate="45836.930526504628" createdVersion="3" refreshedVersion="8" minRefreshableVersion="3" recordCount="0" supportSubquery="1" supportAdvancedDrill="1" xr:uid="{CEFFB059-4EF6-4F02-A792-C2E420BF61A3}">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Calender_Table].[Date]" caption="Date" attribute="1" time="1" defaultMemberUniqueName="[Calender_Table].[Date].[All]" allUniqueName="[Calender_Table].[Date].[All]" dimensionUniqueName="[Calender_Table]" displayFolder="" count="0" memberValueDatatype="7" unbalanced="0"/>
    <cacheHierarchy uniqueName="[Dataset  2].[Patient Id]" caption="Patient Id" attribute="1" defaultMemberUniqueName="[Dataset  2].[Patient Id].[All]" allUniqueName="[Dataset  2].[Patient Id].[All]" dimensionUniqueName="[Dataset  2]" displayFolder="" count="0" memberValueDatatype="130" unbalanced="0"/>
    <cacheHierarchy uniqueName="[Dataset  2].[Date]" caption="Date" attribute="1" time="1" defaultMemberUniqueName="[Dataset  2].[Date].[All]" allUniqueName="[Dataset  2].[Date].[All]" dimensionUniqueName="[Dataset  2]" displayFolder="" count="0" memberValueDatatype="7" unbalanced="0"/>
    <cacheHierarchy uniqueName="[Dataset  2].[Time]" caption="Time" attribute="1" time="1" defaultMemberUniqueName="[Dataset  2].[Time].[All]" allUniqueName="[Dataset  2].[Time].[All]" dimensionUniqueName="[Dataset  2]" displayFolder="" count="0" memberValueDatatype="7" unbalanced="0"/>
    <cacheHierarchy uniqueName="[Dataset  2].[Merged]" caption="Merged" attribute="1" defaultMemberUniqueName="[Dataset  2].[Merged].[All]" allUniqueName="[Dataset  2].[Merged].[All]" dimensionUniqueName="[Dataset  2]" displayFolder="" count="0" memberValueDatatype="130" unbalanced="0"/>
    <cacheHierarchy uniqueName="[Dataset  2].[Patient Gender]" caption="Patient Gender" attribute="1" defaultMemberUniqueName="[Dataset  2].[Patient Gender].[All]" allUniqueName="[Dataset  2].[Patient Gender].[All]" dimensionUniqueName="[Dataset  2]" displayFolder="" count="0" memberValueDatatype="130" unbalanced="0"/>
    <cacheHierarchy uniqueName="[Dataset  2].[Patient Age]" caption="Patient Age" attribute="1" defaultMemberUniqueName="[Dataset  2].[Patient Age].[All]" allUniqueName="[Dataset  2].[Patient Age].[All]" dimensionUniqueName="[Dataset  2]" displayFolder="" count="0" memberValueDatatype="20" unbalanced="0"/>
    <cacheHierarchy uniqueName="[Dataset  2].[Patient Race]" caption="Patient Race" attribute="1" defaultMemberUniqueName="[Dataset  2].[Patient Race].[All]" allUniqueName="[Dataset  2].[Patient Race].[All]" dimensionUniqueName="[Dataset  2]" displayFolder="" count="0" memberValueDatatype="130" unbalanced="0"/>
    <cacheHierarchy uniqueName="[Dataset  2].[Department Referral]" caption="Department Referral" attribute="1" defaultMemberUniqueName="[Dataset  2].[Department Referral].[All]" allUniqueName="[Dataset  2].[Department Referral].[All]" dimensionUniqueName="[Dataset  2]" displayFolder="" count="0" memberValueDatatype="130" unbalanced="0"/>
    <cacheHierarchy uniqueName="[Dataset  2].[Patient Admission Flag]" caption="Patient Admission Flag" attribute="1" defaultMemberUniqueName="[Dataset  2].[Patient Admission Flag].[All]" allUniqueName="[Dataset  2].[Patient Admission Flag].[All]" dimensionUniqueName="[Dataset  2]" displayFolder="" count="0" memberValueDatatype="11" unbalanced="0"/>
    <cacheHierarchy uniqueName="[Dataset  2].[Patient Satisfaction Score]" caption="Patient Satisfaction Score" attribute="1" defaultMemberUniqueName="[Dataset  2].[Patient Satisfaction Score].[All]" allUniqueName="[Dataset  2].[Patient Satisfaction Score].[All]" dimensionUniqueName="[Dataset  2]" displayFolder="" count="0" memberValueDatatype="20" unbalanced="0"/>
    <cacheHierarchy uniqueName="[Dataset  2].[Patient Waittime]" caption="Patient Waittime" attribute="1" defaultMemberUniqueName="[Dataset  2].[Patient Waittime].[All]" allUniqueName="[Dataset  2].[Patient Waittime].[All]" dimensionUniqueName="[Dataset  2]" displayFolder="" count="0" memberValueDatatype="20" unbalanced="0"/>
    <cacheHierarchy uniqueName="[Dataset  2].[Age Gap]" caption="Age Gap" attribute="1" defaultMemberUniqueName="[Dataset  2].[Age Gap].[All]" allUniqueName="[Dataset  2].[Age Gap].[All]" dimensionUniqueName="[Dataset  2]" displayFolder="" count="0" memberValueDatatype="130" unbalanced="0"/>
    <cacheHierarchy uniqueName="[Dataset  2].[Waittime]" caption="Waittime" attribute="1" defaultMemberUniqueName="[Dataset  2].[Waittime].[All]" allUniqueName="[Dataset  2].[Waittime].[All]" dimensionUniqueName="[Dataset  2]" displayFolder="" count="0" memberValueDatatype="130" unbalanced="0"/>
    <cacheHierarchy uniqueName="[Dataset  2].[Date (Year)]" caption="Date (Year)" attribute="1" defaultMemberUniqueName="[Dataset  2].[Date (Year)].[All]" allUniqueName="[Dataset  2].[Date (Year)].[All]" dimensionUniqueName="[Dataset  2]" displayFolder="" count="2" memberValueDatatype="130" unbalanced="0"/>
    <cacheHierarchy uniqueName="[Dataset  2].[Date (Quarter)]" caption="Date (Quarter)" attribute="1" defaultMemberUniqueName="[Dataset  2].[Date (Quarter)].[All]" allUniqueName="[Dataset  2].[Date (Quarter)].[All]" dimensionUniqueName="[Dataset  2]" displayFolder="" count="0" memberValueDatatype="130" unbalanced="0"/>
    <cacheHierarchy uniqueName="[Dataset  2].[Date (Month)]" caption="Date (Month)" attribute="1" defaultMemberUniqueName="[Dataset  2].[Date (Month)].[All]" allUniqueName="[Dataset  2].[Date (Month)].[All]" dimensionUniqueName="[Dataset  2]" displayFolder="" count="2" memberValueDatatype="130" unbalanced="0"/>
    <cacheHierarchy uniqueName="[Dataset  2].[Admission]" caption="Admission" attribute="1" defaultMemberUniqueName="[Dataset  2].[Admission].[All]" allUniqueName="[Dataset  2].[Admission].[All]" dimensionUniqueName="[Dataset  2]" displayFolder="" count="0" memberValueDatatype="20" unbalanced="0"/>
    <cacheHierarchy uniqueName="[Dataset  2].[Date (Month Index)]" caption="Date (Month Index)" attribute="1" defaultMemberUniqueName="[Dataset  2].[Date (Month Index)].[All]" allUniqueName="[Dataset  2].[Date (Month Index)].[All]" dimensionUniqueName="[Dataset  2]" displayFolder="" count="0" memberValueDatatype="20" unbalanced="0" hidden="1"/>
    <cacheHierarchy uniqueName="[Measures].[__XL_Count Dataset  2]" caption="__XL_Count Dataset  2" measure="1" displayFolder="" measureGroup="Dataset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Dataset  2" count="0" hidden="1">
      <extLst>
        <ext xmlns:x15="http://schemas.microsoft.com/office/spreadsheetml/2010/11/main" uri="{B97F6D7D-B522-45F9-BDA1-12C45D357490}">
          <x15:cacheHierarchy aggregatedColumn="1"/>
        </ext>
      </extLst>
    </cacheHierarchy>
    <cacheHierarchy uniqueName="[Measures].[Count of Department Referral]" caption="Count of Department Referral" measure="1" displayFolder="" measureGroup="Dataset  2" count="0" hidden="1">
      <extLst>
        <ext xmlns:x15="http://schemas.microsoft.com/office/spreadsheetml/2010/11/main" uri="{B97F6D7D-B522-45F9-BDA1-12C45D357490}">
          <x15:cacheHierarchy aggregatedColumn="8"/>
        </ext>
      </extLst>
    </cacheHierarchy>
    <cacheHierarchy uniqueName="[Measures].[Count of Waittime]" caption="Count of Waittime" measure="1" displayFolder="" measureGroup="Dataset  2"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Dataset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ataset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ataset  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357755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5B4C7-E4B9-4CE5-96A7-FDC6689DC1DE}" name="PivotTable12" cacheId="440" applyNumberFormats="0" applyBorderFormats="0" applyFontFormats="0" applyPatternFormats="0" applyAlignmentFormats="0" applyWidthHeightFormats="1" dataCaption="Values" tag="ecf1ebf4-acee-457e-b72d-cbde620a6747" updatedVersion="8" minRefreshableVersion="3" useAutoFormatting="1" subtotalHiddenItems="1" itemPrintTitles="1" createdVersion="5" indent="0" outline="1" outlineData="1" multipleFieldFilters="0" chartFormat="6">
  <location ref="A27:B7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s>
  <rowFields count="1">
    <field x="1"/>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Patient Waittime" fld="2" subtotal="average" baseField="1" baseItem="0" numFmtId="164"/>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44E99-0BAE-4BDF-9BCA-5FDCF98F09C7}" name="PivotTable6" cacheId="422" applyNumberFormats="0" applyBorderFormats="0" applyFontFormats="0" applyPatternFormats="0" applyAlignmentFormats="0" applyWidthHeightFormats="1" dataCaption="Values" tag="ce5f9a19-8003-4cbf-942d-8440584cf40a" updatedVersion="8" minRefreshableVersion="3" useAutoFormatting="1" subtotalHiddenItems="1" itemPrintTitles="1" createdVersion="5" indent="0" outline="1" outlineData="1" multipleFieldFilters="0">
  <location ref="D5:E8"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3">
    <i>
      <x/>
    </i>
    <i r="1">
      <x/>
    </i>
    <i t="grand">
      <x/>
    </i>
  </rowItems>
  <colItems count="1">
    <i/>
  </colItems>
  <dataFields count="1">
    <dataField name="Count of Patient I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4F1FFF-CA29-4DEE-B6E7-E74DE532F02D}" name="PivotTable8" cacheId="428" applyNumberFormats="0" applyBorderFormats="0" applyFontFormats="0" applyPatternFormats="0" applyAlignmentFormats="0" applyWidthHeightFormats="1" dataCaption="Values" tag="726c16e1-65da-4979-bb40-2c2579ca102b" updatedVersion="8" minRefreshableVersion="3" useAutoFormatting="1" subtotalHiddenItems="1" itemPrintTitles="1" createdVersion="5" indent="0" outline="1" outlineData="1" multipleFieldFilters="0" chartFormat="7">
  <location ref="A90:D100"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2">
        <item x="0"/>
        <item x="1"/>
      </items>
    </pivotField>
  </pivotFields>
  <rowFields count="1">
    <field x="1"/>
  </rowFields>
  <rowItems count="9">
    <i>
      <x/>
    </i>
    <i>
      <x v="1"/>
    </i>
    <i>
      <x v="2"/>
    </i>
    <i>
      <x v="3"/>
    </i>
    <i>
      <x v="4"/>
    </i>
    <i>
      <x v="5"/>
    </i>
    <i>
      <x v="6"/>
    </i>
    <i>
      <x v="7"/>
    </i>
    <i t="grand">
      <x/>
    </i>
  </rowItems>
  <colFields count="1">
    <field x="3"/>
  </colFields>
  <colItems count="3">
    <i>
      <x/>
    </i>
    <i>
      <x v="1"/>
    </i>
    <i t="grand">
      <x/>
    </i>
  </colItems>
  <dataFields count="1">
    <dataField name="Count of Department Referral" fld="2" subtotal="count" baseField="0" baseItem="0"/>
  </dataFields>
  <chartFormats count="11">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pivotArea type="data" outline="0" fieldPosition="0">
        <references count="3">
          <reference field="4294967294" count="1" selected="0">
            <x v="0"/>
          </reference>
          <reference field="1" count="1" selected="0">
            <x v="5"/>
          </reference>
          <reference field="3" count="1" selected="0">
            <x v="1"/>
          </reference>
        </references>
      </pivotArea>
    </chartFormat>
    <chartFormat chart="6" format="6">
      <pivotArea type="data" outline="0" fieldPosition="0">
        <references count="3">
          <reference field="4294967294" count="1" selected="0">
            <x v="0"/>
          </reference>
          <reference field="1" count="1" selected="0">
            <x v="6"/>
          </reference>
          <reference field="3" count="1" selected="0">
            <x v="1"/>
          </reference>
        </references>
      </pivotArea>
    </chartFormat>
    <chartFormat chart="6" format="7">
      <pivotArea type="data" outline="0" fieldPosition="0">
        <references count="3">
          <reference field="4294967294" count="1" selected="0">
            <x v="0"/>
          </reference>
          <reference field="1" count="1" selected="0">
            <x v="7"/>
          </reference>
          <reference field="3" count="1" selected="0">
            <x v="1"/>
          </reference>
        </references>
      </pivotArea>
    </chartFormat>
    <chartFormat chart="6" format="8">
      <pivotArea type="data" outline="0" fieldPosition="0">
        <references count="3">
          <reference field="4294967294" count="1" selected="0">
            <x v="0"/>
          </reference>
          <reference field="1" count="1" selected="0">
            <x v="3"/>
          </reference>
          <reference field="3" count="1" selected="0">
            <x v="1"/>
          </reference>
        </references>
      </pivotArea>
    </chartFormat>
    <chartFormat chart="6" format="9">
      <pivotArea type="data" outline="0" fieldPosition="0">
        <references count="3">
          <reference field="4294967294" count="1" selected="0">
            <x v="0"/>
          </reference>
          <reference field="1" count="1" selected="0">
            <x v="2"/>
          </reference>
          <reference field="3" count="1" selected="0">
            <x v="1"/>
          </reference>
        </references>
      </pivotArea>
    </chartFormat>
    <chartFormat chart="6" format="10">
      <pivotArea type="data" outline="0" fieldPosition="0">
        <references count="3">
          <reference field="4294967294" count="1" selected="0">
            <x v="0"/>
          </reference>
          <reference field="1" count="1" selected="0">
            <x v="1"/>
          </reference>
          <reference field="3" count="1" selected="0">
            <x v="1"/>
          </reference>
        </references>
      </pivotArea>
    </chartFormat>
    <chartFormat chart="6" format="11">
      <pivotArea type="data" outline="0" fieldPosition="0">
        <references count="3">
          <reference field="4294967294" count="1" selected="0">
            <x v="0"/>
          </reference>
          <reference field="1" count="1" selected="0">
            <x v="0"/>
          </reference>
          <reference field="3" count="1" selected="0">
            <x v="1"/>
          </reference>
        </references>
      </pivotArea>
    </chartFormat>
    <chartFormat chart="6" format="12">
      <pivotArea type="data" outline="0" fieldPosition="0">
        <references count="3">
          <reference field="4294967294" count="1" selected="0">
            <x v="0"/>
          </reference>
          <reference field="1" count="1" selected="0">
            <x v="4"/>
          </reference>
          <reference field="3"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818121-3ABA-49AF-B94F-3C78BC572910}" name="PivotTable3" cacheId="0" applyNumberFormats="0" applyBorderFormats="0" applyFontFormats="0" applyPatternFormats="0" applyAlignmentFormats="0" applyWidthHeightFormats="1" dataCaption="Values" tag="16e07510-7ed1-411b-8740-92df3a32f132" updatedVersion="8" minRefreshableVersion="3" useAutoFormatting="1" subtotalHiddenItems="1" itemPrintTitles="1" createdVersion="5" indent="0" outline="1" outlineData="1" multipleFieldFilters="0">
  <location ref="C1:D4" firstHeaderRow="1" firstDataRow="1" firstDataCol="1"/>
  <pivotFields count="3">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6F661-01E4-4975-AAA8-77C8C9D60998}" name="PivotTable9" cacheId="431" applyNumberFormats="0" applyBorderFormats="0" applyFontFormats="0" applyPatternFormats="0" applyAlignmentFormats="0" applyWidthHeightFormats="1" dataCaption="Values" tag="b1370bce-aab7-4bc1-bfdf-4e434fad3af0" updatedVersion="8" minRefreshableVersion="3" useAutoFormatting="1" subtotalHiddenItems="1" itemPrintTitles="1" createdVersion="5" indent="0" outline="1" outlineData="1" multipleFieldFilters="0" chartFormat="21">
  <location ref="G5:H3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1"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OlderThan" evalOrder="-1" id="8">
      <autoFilter ref="A1">
        <filterColumn colId="0">
          <customFilters>
            <customFilter operator="lessThan" val="45292"/>
          </customFilters>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F58776-1F9C-49EB-88F8-46DFA89FE000}" name="PivotTable7" cacheId="425" applyNumberFormats="0" applyBorderFormats="0" applyFontFormats="0" applyPatternFormats="0" applyAlignmentFormats="0" applyWidthHeightFormats="1" dataCaption="Values" tag="087bb82f-b8e8-493e-b3c1-e2a1aaf6b7bd" updatedVersion="8" minRefreshableVersion="3" useAutoFormatting="1" subtotalHiddenItems="1" itemPrintTitles="1" createdVersion="5" indent="0" outline="1" outlineData="1" multipleFieldFilters="0" chartFormat="3">
  <location ref="A109:D119" firstHeaderRow="1" firstDataRow="2" firstDataCol="1"/>
  <pivotFields count="4">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Fields count="1">
    <field x="0"/>
  </colFields>
  <colItems count="3">
    <i>
      <x/>
    </i>
    <i>
      <x v="1"/>
    </i>
    <i t="grand">
      <x/>
    </i>
  </colItems>
  <dataFields count="1">
    <dataField name="Count of Age Gap" fld="3" subtotal="count" baseField="0" baseItem="0"/>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190CD4-27F1-4894-A8FB-D58FFB17CF79}" name="PivotTable10" cacheId="434" applyNumberFormats="0" applyBorderFormats="0" applyFontFormats="0" applyPatternFormats="0" applyAlignmentFormats="0" applyWidthHeightFormats="1" dataCaption="Values" tag="e26c1e30-d084-4d66-a87a-711fa7e56d65" updatedVersion="8" minRefreshableVersion="3" useAutoFormatting="1" subtotalHiddenItems="1" itemPrintTitles="1" createdVersion="5" indent="0" outline="1" outlineData="1" multipleFieldFilters="0" chartFormat="6">
  <location ref="A22:B2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Waittime"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8C7855-C2EE-4E9B-915E-6391F3D438F4}" name="PivotTable2" cacheId="1" applyNumberFormats="0" applyBorderFormats="0" applyFontFormats="0" applyPatternFormats="0" applyAlignmentFormats="0" applyWidthHeightFormats="1" dataCaption="Values" tag="8d6e2183-876a-4c62-8022-7e287c632fd0" updatedVersion="8" minRefreshableVersion="3" useAutoFormatting="1" subtotalHiddenItems="1" itemPrintTitles="1" createdVersion="5" indent="0" outline="1" outlineData="1" multipleFieldFilters="0">
  <location ref="A1:A4" firstHeaderRow="1" firstDataRow="1" firstDataCol="1"/>
  <pivotFields count="2">
    <pivotField axis="axisRow" allDrilled="1" subtotalTop="0" showAll="0" dataSourceSort="1" defaultSubtotal="0">
      <items count="2">
        <item x="0" e="0"/>
        <item x="1" e="0"/>
      </items>
    </pivotField>
    <pivotField allDrilled="1" subtotalTop="0" showAll="0" dataSourceSort="1" defaultSubtotal="0" defaultAttributeDrillState="1"/>
  </pivotFields>
  <rowFields count="1">
    <field x="0"/>
  </rowFields>
  <rowItems count="3">
    <i>
      <x/>
    </i>
    <i>
      <x v="1"/>
    </i>
    <i t="grand">
      <x/>
    </i>
  </rowItem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8D618C-07AB-40B2-886F-5EEA4806142F}" name="PivotTable15" cacheId="452" applyNumberFormats="0" applyBorderFormats="0" applyFontFormats="0" applyPatternFormats="0" applyAlignmentFormats="0" applyWidthHeightFormats="1" dataCaption="Values" tag="ce5f9a19-8003-4cbf-942d-8440584cf40a" updatedVersion="8" minRefreshableVersion="3" useAutoFormatting="1" subtotalHiddenItems="1" itemPrintTitles="1" createdVersion="5" indent="0" outline="1" outlineData="1" multipleFieldFilters="0">
  <location ref="D10:E13"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3">
    <i>
      <x/>
    </i>
    <i r="1">
      <x/>
    </i>
    <i t="grand">
      <x/>
    </i>
  </rowItems>
  <colItems count="1">
    <i/>
  </colItems>
  <dataFields count="1">
    <dataField name="Count of Patient I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CFE53E-0659-4448-B41D-6E3C89965D00}" name="PivotTable13" cacheId="443" applyNumberFormats="0" applyBorderFormats="0" applyFontFormats="0" applyPatternFormats="0" applyAlignmentFormats="0" applyWidthHeightFormats="1" dataCaption="Values" tag="ca324a14-a5a2-413c-9538-62e8329648ca" updatedVersion="8" minRefreshableVersion="3" useAutoFormatting="1" subtotalHiddenItems="1" itemPrintTitles="1" createdVersion="5" indent="0" outline="1" outlineData="1" multipleFieldFilters="0" chartFormat="10">
  <location ref="A81:D85" firstHeaderRow="1" firstDataRow="2"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2"/>
  </rowFields>
  <rowItems count="3">
    <i>
      <x/>
    </i>
    <i>
      <x v="1"/>
    </i>
    <i t="grand">
      <x/>
    </i>
  </rowItems>
  <colFields count="1">
    <field x="3"/>
  </colFields>
  <colItems count="3">
    <i>
      <x/>
    </i>
    <i>
      <x v="1"/>
    </i>
    <i t="grand">
      <x/>
    </i>
  </colItems>
  <dataFields count="1">
    <dataField name="Count of Patient Admission Flag"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1306AD-2779-4ED9-A501-8D3B8816ACBA}" name="PivotTable14" cacheId="449" applyNumberFormats="0" applyBorderFormats="0" applyFontFormats="0" applyPatternFormats="0" applyAlignmentFormats="0" applyWidthHeightFormats="1" dataCaption="Values" tag="b1370bce-aab7-4bc1-bfdf-4e434fad3af0" updatedVersion="8" minRefreshableVersion="3" useAutoFormatting="1" subtotalHiddenItems="1" itemPrintTitles="1" createdVersion="5" indent="0" outline="1" outlineData="1" multipleFieldFilters="0" chartFormat="24">
  <location ref="J5:K3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1" subtotal="count" baseField="0" baseItem="0"/>
  </dataFields>
  <chartFormats count="5">
    <chartFormat chart="8"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NewerThan" evalOrder="-1" id="9">
      <autoFilter ref="A1">
        <filterColumn colId="0">
          <customFilters>
            <customFilter operator="greaterThan" val="45291"/>
          </customFilters>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EA1072-346E-4184-AF29-499DEAA655E7}" name="PivotTable1" cacheId="446" applyNumberFormats="0" applyBorderFormats="0" applyFontFormats="0" applyPatternFormats="0" applyAlignmentFormats="0" applyWidthHeightFormats="1" dataCaption="Values" tag="e93bb87d-6e33-4cb4-b715-19b8e04e910c" updatedVersion="8" minRefreshableVersion="3" useAutoFormatting="1" subtotalHiddenItems="1" itemPrintTitles="1" createdVersion="5" indent="0" outline="1" outlineData="1" multipleFieldFilters="0" chartFormat="14">
  <location ref="A129:C133" firstHeaderRow="1" firstDataRow="2"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s="1" x="0"/>
        <item x="1"/>
      </items>
    </pivotField>
  </pivotFields>
  <rowFields count="1">
    <field x="1"/>
  </rowFields>
  <rowItems count="3">
    <i>
      <x/>
    </i>
    <i>
      <x v="1"/>
    </i>
    <i t="grand">
      <x/>
    </i>
  </rowItems>
  <colFields count="1">
    <field x="3"/>
  </colFields>
  <colItems count="2">
    <i>
      <x/>
    </i>
    <i t="grand">
      <x/>
    </i>
  </colItems>
  <dataFields count="1">
    <dataField name="Count of Patient Gender" fld="2" subtotal="count" baseField="0" baseItem="0"/>
  </dataFields>
  <chartFormats count="9">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series="1">
      <pivotArea type="data" outline="0" fieldPosition="0">
        <references count="2">
          <reference field="4294967294" count="1" selected="0">
            <x v="0"/>
          </reference>
          <reference field="3" count="1" selected="0">
            <x v="0"/>
          </reference>
        </references>
      </pivotArea>
    </chartFormat>
    <chartFormat chart="9" format="0" series="1">
      <pivotArea type="data" outline="0" fieldPosition="0">
        <references count="2">
          <reference field="4294967294" count="1" selected="0">
            <x v="0"/>
          </reference>
          <reference field="3" count="1" selected="0">
            <x v="1"/>
          </reference>
        </references>
      </pivotArea>
    </chartFormat>
    <chartFormat chart="9" format="1" series="1">
      <pivotArea type="data" outline="0" fieldPosition="0">
        <references count="2">
          <reference field="4294967294" count="1" selected="0">
            <x v="0"/>
          </reference>
          <reference field="3" count="1" selected="0">
            <x v="0"/>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pivotArea type="data" outline="0" fieldPosition="0">
        <references count="3">
          <reference field="4294967294" count="1" selected="0">
            <x v="0"/>
          </reference>
          <reference field="1" count="1" selected="0">
            <x v="0"/>
          </reference>
          <reference field="3" count="1" selected="0">
            <x v="0"/>
          </reference>
        </references>
      </pivotArea>
    </chartFormat>
    <chartFormat chart="13" format="6">
      <pivotArea type="data" outline="0" fieldPosition="0">
        <references count="3">
          <reference field="4294967294" count="1" selected="0">
            <x v="0"/>
          </reference>
          <reference field="1" count="1" selected="0">
            <x v="1"/>
          </reference>
          <reference field="3"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F3443A-F4E2-468C-8CE7-8AF4DEA5D8ED}" name="PivotTable4" cacheId="353" applyNumberFormats="0" applyBorderFormats="0" applyFontFormats="0" applyPatternFormats="0" applyAlignmentFormats="0" applyWidthHeightFormats="1" dataCaption="Values" tag="2aa86074-0efe-4d42-a824-fa7593169bf9" updatedVersion="8" minRefreshableVersion="3" useAutoFormatting="1" subtotalHiddenItems="1" itemPrintTitles="1" createdVersion="5" indent="0" outline="1" outlineData="1" multipleFieldFilters="0">
  <location ref="A5:B1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Patient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48C108-6D7D-4F22-B073-622401107960}" name="PivotTable11" cacheId="437" applyNumberFormats="0" applyBorderFormats="0" applyFontFormats="0" applyPatternFormats="0" applyAlignmentFormats="0" applyWidthHeightFormats="1" dataCaption="Values" tag="e93bb87d-6e33-4cb4-b715-19b8e04e910c" updatedVersion="8" minRefreshableVersion="3" useAutoFormatting="1" subtotalHiddenItems="1" itemPrintTitles="1" createdVersion="5" indent="0" outline="1" outlineData="1" multipleFieldFilters="0" chartFormat="13">
  <location ref="A122:C126" firstHeaderRow="1" firstDataRow="2"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1">
        <item s="1" x="0"/>
      </items>
    </pivotField>
  </pivotFields>
  <rowFields count="1">
    <field x="1"/>
  </rowFields>
  <rowItems count="3">
    <i>
      <x/>
    </i>
    <i>
      <x v="1"/>
    </i>
    <i t="grand">
      <x/>
    </i>
  </rowItems>
  <colFields count="1">
    <field x="3"/>
  </colFields>
  <colItems count="2">
    <i>
      <x/>
    </i>
    <i t="grand">
      <x/>
    </i>
  </colItems>
  <dataFields count="1">
    <dataField name="Count of Patient Gender" fld="2" subtotal="count" baseField="0" baseItem="0"/>
  </dataFields>
  <chartFormats count="4">
    <chartFormat chart="8" format="8" series="1">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3">
          <reference field="4294967294" count="1" selected="0">
            <x v="0"/>
          </reference>
          <reference field="1" count="1" selected="0">
            <x v="0"/>
          </reference>
          <reference field="3" count="1" selected="0">
            <x v="0"/>
          </reference>
        </references>
      </pivotArea>
    </chartFormat>
    <chartFormat chart="8" format="10">
      <pivotArea type="data" outline="0" fieldPosition="0">
        <references count="3">
          <reference field="4294967294" count="1" selected="0">
            <x v="0"/>
          </reference>
          <reference field="1" count="1" selected="0">
            <x v="1"/>
          </reference>
          <reference field="3" count="1" selected="0">
            <x v="0"/>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set  2].[Date (Month)].&amp;[Ap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240C112-63DE-4494-AB98-95BD38B87AD4}" sourceName="[Dataset  2].[Date (Month)]">
  <pivotTables>
    <pivotTable tabId="5" name="PivotTable6"/>
    <pivotTable tabId="5" name="PivotTable7"/>
    <pivotTable tabId="5" name="PivotTable8"/>
    <pivotTable tabId="5" name="PivotTable9"/>
    <pivotTable tabId="5" name="PivotTable10"/>
    <pivotTable tabId="5" name="PivotTable11"/>
    <pivotTable tabId="5" name="PivotTable12"/>
    <pivotTable tabId="5" name="PivotTable13"/>
    <pivotTable tabId="5" name="PivotTable1"/>
    <pivotTable tabId="5" name="PivotTable14"/>
    <pivotTable tabId="5" name="PivotTable15"/>
  </pivotTables>
  <data>
    <olap pivotCacheId="735775533">
      <levels count="2">
        <level uniqueName="[Dataset  2].[Date (Month)].[(All)]" sourceCaption="(All)" count="0"/>
        <level uniqueName="[Dataset  2].[Date (Month)].[Date (Month)]" sourceCaption="Date (Month)" count="12">
          <ranges>
            <range startItem="0">
              <i n="[Dataset  2].[Date (Month)].&amp;[Jan]" c="Jan"/>
              <i n="[Dataset  2].[Date (Month)].&amp;[Feb]" c="Feb"/>
              <i n="[Dataset  2].[Date (Month)].&amp;[Mar]" c="Mar"/>
              <i n="[Dataset  2].[Date (Month)].&amp;[Apr]" c="Apr"/>
              <i n="[Dataset  2].[Date (Month)].&amp;[May]" c="May"/>
              <i n="[Dataset  2].[Date (Month)].&amp;[Jun]" c="Jun"/>
              <i n="[Dataset  2].[Date (Month)].&amp;[Jul]" c="Jul"/>
              <i n="[Dataset  2].[Date (Month)].&amp;[Aug]" c="Aug"/>
              <i n="[Dataset  2].[Date (Month)].&amp;[Sep]" c="Sep"/>
              <i n="[Dataset  2].[Date (Month)].&amp;[Oct]" c="Oct"/>
              <i n="[Dataset  2].[Date (Month)].&amp;[Nov]" c="Nov"/>
              <i n="[Dataset  2].[Date (Month)].&amp;[Dec]" c="Dec"/>
            </range>
          </ranges>
        </level>
      </levels>
      <selections count="1">
        <selection n="[Dataset  2].[Date (Month)].&amp;[Ap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208E9CD-6460-4508-90F1-E49BAE41F18B}" cache="Slicer_Date__Month" caption="Date (Month)" showCaption="0" level="1" style="SlicerStyleLight2" rowHeight="288000"/>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91A7-3F72-4750-9B9D-CEB6042CF3B2}">
  <dimension ref="A1:K133"/>
  <sheetViews>
    <sheetView workbookViewId="0">
      <selection activeCell="B7" sqref="B7"/>
    </sheetView>
  </sheetViews>
  <sheetFormatPr defaultRowHeight="15" x14ac:dyDescent="0.25"/>
  <cols>
    <col min="1" max="1" width="23.28515625" bestFit="1" customWidth="1"/>
    <col min="2" max="2" width="16.85546875" bestFit="1" customWidth="1"/>
    <col min="3" max="3" width="11.28515625" bestFit="1" customWidth="1"/>
    <col min="4" max="4" width="13.42578125" bestFit="1" customWidth="1"/>
    <col min="5" max="5" width="18.140625" bestFit="1" customWidth="1"/>
    <col min="7" max="7" width="13.42578125" bestFit="1" customWidth="1"/>
    <col min="8" max="8" width="18.140625" bestFit="1" customWidth="1"/>
    <col min="10" max="10" width="13.42578125" bestFit="1" customWidth="1"/>
    <col min="11" max="11" width="18.140625" bestFit="1" customWidth="1"/>
  </cols>
  <sheetData>
    <row r="1" spans="1:11" x14ac:dyDescent="0.25">
      <c r="A1" s="2" t="s">
        <v>10</v>
      </c>
      <c r="C1" s="2" t="s">
        <v>10</v>
      </c>
      <c r="D1" t="s">
        <v>14</v>
      </c>
    </row>
    <row r="2" spans="1:11" x14ac:dyDescent="0.25">
      <c r="A2" s="3" t="s">
        <v>12</v>
      </c>
      <c r="C2" s="3" t="s">
        <v>12</v>
      </c>
      <c r="D2">
        <v>4338</v>
      </c>
    </row>
    <row r="3" spans="1:11" x14ac:dyDescent="0.25">
      <c r="A3" s="3" t="s">
        <v>33</v>
      </c>
      <c r="C3" s="3" t="s">
        <v>33</v>
      </c>
      <c r="D3">
        <v>4878</v>
      </c>
    </row>
    <row r="4" spans="1:11" x14ac:dyDescent="0.25">
      <c r="A4" s="3" t="s">
        <v>11</v>
      </c>
      <c r="C4" s="3" t="s">
        <v>11</v>
      </c>
      <c r="D4">
        <v>9216</v>
      </c>
    </row>
    <row r="5" spans="1:11" x14ac:dyDescent="0.25">
      <c r="A5" s="2" t="s">
        <v>10</v>
      </c>
      <c r="B5" t="s">
        <v>14</v>
      </c>
      <c r="D5" s="2" t="s">
        <v>10</v>
      </c>
      <c r="E5" t="s">
        <v>14</v>
      </c>
      <c r="G5" s="2" t="s">
        <v>10</v>
      </c>
      <c r="H5" t="s">
        <v>14</v>
      </c>
      <c r="J5" s="2" t="s">
        <v>10</v>
      </c>
      <c r="K5" t="s">
        <v>14</v>
      </c>
    </row>
    <row r="6" spans="1:11" x14ac:dyDescent="0.25">
      <c r="A6" s="3" t="s">
        <v>35</v>
      </c>
      <c r="B6" s="8">
        <v>513</v>
      </c>
      <c r="D6" s="3" t="s">
        <v>33</v>
      </c>
      <c r="E6" s="8"/>
      <c r="G6" s="4">
        <v>45017</v>
      </c>
      <c r="H6" s="8">
        <v>19</v>
      </c>
      <c r="J6" s="4">
        <v>45383</v>
      </c>
      <c r="K6" s="8">
        <v>12</v>
      </c>
    </row>
    <row r="7" spans="1:11" x14ac:dyDescent="0.25">
      <c r="A7" s="3" t="s">
        <v>36</v>
      </c>
      <c r="B7" s="8">
        <v>431</v>
      </c>
      <c r="D7" s="5" t="s">
        <v>13</v>
      </c>
      <c r="E7" s="8">
        <v>469</v>
      </c>
      <c r="G7" s="4">
        <v>45018</v>
      </c>
      <c r="H7" s="8">
        <v>13</v>
      </c>
      <c r="J7" s="4">
        <v>45384</v>
      </c>
      <c r="K7" s="8">
        <v>19</v>
      </c>
    </row>
    <row r="8" spans="1:11" x14ac:dyDescent="0.25">
      <c r="A8" s="3" t="s">
        <v>37</v>
      </c>
      <c r="B8" s="8">
        <v>935</v>
      </c>
      <c r="D8" s="3" t="s">
        <v>11</v>
      </c>
      <c r="E8" s="8">
        <v>469</v>
      </c>
      <c r="G8" s="4">
        <v>45019</v>
      </c>
      <c r="H8" s="8">
        <v>14</v>
      </c>
      <c r="J8" s="4">
        <v>45385</v>
      </c>
      <c r="K8" s="8">
        <v>17</v>
      </c>
    </row>
    <row r="9" spans="1:11" x14ac:dyDescent="0.25">
      <c r="A9" s="3" t="s">
        <v>38</v>
      </c>
      <c r="B9" s="8">
        <v>964</v>
      </c>
      <c r="G9" s="4">
        <v>45020</v>
      </c>
      <c r="H9" s="8">
        <v>9</v>
      </c>
      <c r="J9" s="4">
        <v>45386</v>
      </c>
      <c r="K9" s="8">
        <v>20</v>
      </c>
    </row>
    <row r="10" spans="1:11" x14ac:dyDescent="0.25">
      <c r="A10" s="3" t="s">
        <v>39</v>
      </c>
      <c r="B10" s="8">
        <v>464</v>
      </c>
      <c r="D10" s="2" t="s">
        <v>10</v>
      </c>
      <c r="E10" t="s">
        <v>14</v>
      </c>
      <c r="G10" s="4">
        <v>45021</v>
      </c>
      <c r="H10" s="8">
        <v>19</v>
      </c>
      <c r="J10" s="4">
        <v>45387</v>
      </c>
      <c r="K10" s="8">
        <v>15</v>
      </c>
    </row>
    <row r="11" spans="1:11" x14ac:dyDescent="0.25">
      <c r="A11" s="3" t="s">
        <v>40</v>
      </c>
      <c r="B11" s="8">
        <v>489</v>
      </c>
      <c r="D11" s="3" t="s">
        <v>12</v>
      </c>
      <c r="E11" s="8"/>
      <c r="G11" s="4">
        <v>45022</v>
      </c>
      <c r="H11" s="8">
        <v>14</v>
      </c>
      <c r="J11" s="4">
        <v>45388</v>
      </c>
      <c r="K11" s="8">
        <v>17</v>
      </c>
    </row>
    <row r="12" spans="1:11" x14ac:dyDescent="0.25">
      <c r="A12" s="3" t="s">
        <v>11</v>
      </c>
      <c r="B12" s="8">
        <v>3796</v>
      </c>
      <c r="D12" s="5" t="s">
        <v>13</v>
      </c>
      <c r="E12" s="8">
        <v>479</v>
      </c>
      <c r="G12" s="4">
        <v>45023</v>
      </c>
      <c r="H12" s="8">
        <v>11</v>
      </c>
      <c r="J12" s="4">
        <v>45389</v>
      </c>
      <c r="K12" s="8">
        <v>16</v>
      </c>
    </row>
    <row r="13" spans="1:11" x14ac:dyDescent="0.25">
      <c r="D13" s="3" t="s">
        <v>11</v>
      </c>
      <c r="E13" s="8">
        <v>479</v>
      </c>
      <c r="G13" s="4">
        <v>45024</v>
      </c>
      <c r="H13" s="8">
        <v>22</v>
      </c>
      <c r="J13" s="4">
        <v>45390</v>
      </c>
      <c r="K13" s="8">
        <v>10</v>
      </c>
    </row>
    <row r="14" spans="1:11" x14ac:dyDescent="0.25">
      <c r="G14" s="4">
        <v>45025</v>
      </c>
      <c r="H14" s="8">
        <v>12</v>
      </c>
      <c r="J14" s="4">
        <v>45391</v>
      </c>
      <c r="K14" s="8">
        <v>15</v>
      </c>
    </row>
    <row r="15" spans="1:11" x14ac:dyDescent="0.25">
      <c r="G15" s="4">
        <v>45026</v>
      </c>
      <c r="H15" s="8">
        <v>13</v>
      </c>
      <c r="J15" s="4">
        <v>45392</v>
      </c>
      <c r="K15" s="8">
        <v>14</v>
      </c>
    </row>
    <row r="16" spans="1:11" x14ac:dyDescent="0.25">
      <c r="G16" s="4">
        <v>45027</v>
      </c>
      <c r="H16" s="8">
        <v>17</v>
      </c>
      <c r="J16" s="4">
        <v>45393</v>
      </c>
      <c r="K16" s="8">
        <v>16</v>
      </c>
    </row>
    <row r="17" spans="1:11" x14ac:dyDescent="0.25">
      <c r="G17" s="4">
        <v>45028</v>
      </c>
      <c r="H17" s="8">
        <v>30</v>
      </c>
      <c r="J17" s="4">
        <v>45394</v>
      </c>
      <c r="K17" s="8">
        <v>12</v>
      </c>
    </row>
    <row r="18" spans="1:11" x14ac:dyDescent="0.25">
      <c r="G18" s="4">
        <v>45029</v>
      </c>
      <c r="H18" s="8">
        <v>13</v>
      </c>
      <c r="J18" s="4">
        <v>45395</v>
      </c>
      <c r="K18" s="8">
        <v>12</v>
      </c>
    </row>
    <row r="19" spans="1:11" x14ac:dyDescent="0.25">
      <c r="G19" s="4">
        <v>45030</v>
      </c>
      <c r="H19" s="8">
        <v>21</v>
      </c>
      <c r="J19" s="4">
        <v>45396</v>
      </c>
      <c r="K19" s="8">
        <v>13</v>
      </c>
    </row>
    <row r="20" spans="1:11" x14ac:dyDescent="0.25">
      <c r="G20" s="4">
        <v>45031</v>
      </c>
      <c r="H20" s="8">
        <v>12</v>
      </c>
      <c r="J20" s="4">
        <v>45397</v>
      </c>
      <c r="K20" s="8">
        <v>20</v>
      </c>
    </row>
    <row r="21" spans="1:11" x14ac:dyDescent="0.25">
      <c r="G21" s="4">
        <v>45032</v>
      </c>
      <c r="H21" s="8">
        <v>17</v>
      </c>
      <c r="J21" s="4">
        <v>45398</v>
      </c>
      <c r="K21" s="8">
        <v>17</v>
      </c>
    </row>
    <row r="22" spans="1:11" x14ac:dyDescent="0.25">
      <c r="A22" s="2" t="s">
        <v>10</v>
      </c>
      <c r="B22" t="s">
        <v>26</v>
      </c>
      <c r="G22" s="4">
        <v>45033</v>
      </c>
      <c r="H22" s="8">
        <v>16</v>
      </c>
      <c r="J22" s="4">
        <v>45399</v>
      </c>
      <c r="K22" s="8">
        <v>10</v>
      </c>
    </row>
    <row r="23" spans="1:11" x14ac:dyDescent="0.25">
      <c r="A23" s="3" t="s">
        <v>24</v>
      </c>
      <c r="B23" s="8">
        <v>541</v>
      </c>
      <c r="G23" s="4">
        <v>45034</v>
      </c>
      <c r="H23" s="8">
        <v>20</v>
      </c>
      <c r="J23" s="4">
        <v>45400</v>
      </c>
      <c r="K23" s="8">
        <v>16</v>
      </c>
    </row>
    <row r="24" spans="1:11" x14ac:dyDescent="0.25">
      <c r="A24" s="3" t="s">
        <v>25</v>
      </c>
      <c r="B24" s="8">
        <v>407</v>
      </c>
      <c r="G24" s="4">
        <v>45035</v>
      </c>
      <c r="H24" s="8">
        <v>18</v>
      </c>
      <c r="J24" s="4">
        <v>45401</v>
      </c>
      <c r="K24" s="8">
        <v>13</v>
      </c>
    </row>
    <row r="25" spans="1:11" x14ac:dyDescent="0.25">
      <c r="A25" s="3" t="s">
        <v>11</v>
      </c>
      <c r="B25" s="8">
        <v>948</v>
      </c>
      <c r="G25" s="4">
        <v>45036</v>
      </c>
      <c r="H25" s="8">
        <v>16</v>
      </c>
      <c r="J25" s="4">
        <v>45402</v>
      </c>
      <c r="K25" s="8">
        <v>16</v>
      </c>
    </row>
    <row r="26" spans="1:11" x14ac:dyDescent="0.25">
      <c r="G26" s="4">
        <v>45037</v>
      </c>
      <c r="H26" s="8">
        <v>15</v>
      </c>
      <c r="J26" s="4">
        <v>45403</v>
      </c>
      <c r="K26" s="8">
        <v>18</v>
      </c>
    </row>
    <row r="27" spans="1:11" x14ac:dyDescent="0.25">
      <c r="A27" s="2" t="s">
        <v>10</v>
      </c>
      <c r="B27" t="s">
        <v>28</v>
      </c>
      <c r="G27" s="4">
        <v>45038</v>
      </c>
      <c r="H27" s="8">
        <v>18</v>
      </c>
      <c r="J27" s="4">
        <v>45404</v>
      </c>
      <c r="K27" s="8">
        <v>21</v>
      </c>
    </row>
    <row r="28" spans="1:11" x14ac:dyDescent="0.25">
      <c r="A28" s="3">
        <v>10</v>
      </c>
      <c r="B28" s="6">
        <v>10</v>
      </c>
      <c r="G28" s="4">
        <v>45039</v>
      </c>
      <c r="H28" s="8">
        <v>12</v>
      </c>
      <c r="J28" s="4">
        <v>45405</v>
      </c>
      <c r="K28" s="8">
        <v>15</v>
      </c>
    </row>
    <row r="29" spans="1:11" x14ac:dyDescent="0.25">
      <c r="A29" s="3">
        <v>11</v>
      </c>
      <c r="B29" s="6">
        <v>11</v>
      </c>
      <c r="G29" s="4">
        <v>45040</v>
      </c>
      <c r="H29" s="8">
        <v>14</v>
      </c>
      <c r="J29" s="4">
        <v>45406</v>
      </c>
      <c r="K29" s="8">
        <v>18</v>
      </c>
    </row>
    <row r="30" spans="1:11" x14ac:dyDescent="0.25">
      <c r="A30" s="3">
        <v>12</v>
      </c>
      <c r="B30" s="6">
        <v>12</v>
      </c>
      <c r="G30" s="4">
        <v>45041</v>
      </c>
      <c r="H30" s="8">
        <v>18</v>
      </c>
      <c r="J30" s="4">
        <v>45407</v>
      </c>
      <c r="K30" s="8">
        <v>15</v>
      </c>
    </row>
    <row r="31" spans="1:11" x14ac:dyDescent="0.25">
      <c r="A31" s="3">
        <v>13</v>
      </c>
      <c r="B31" s="6">
        <v>13</v>
      </c>
      <c r="G31" s="4">
        <v>45042</v>
      </c>
      <c r="H31" s="8">
        <v>16</v>
      </c>
      <c r="J31" s="4">
        <v>45408</v>
      </c>
      <c r="K31" s="8">
        <v>18</v>
      </c>
    </row>
    <row r="32" spans="1:11" x14ac:dyDescent="0.25">
      <c r="A32" s="3">
        <v>14</v>
      </c>
      <c r="B32" s="6">
        <v>14</v>
      </c>
      <c r="G32" s="4">
        <v>45043</v>
      </c>
      <c r="H32" s="8">
        <v>16</v>
      </c>
      <c r="J32" s="4">
        <v>45409</v>
      </c>
      <c r="K32" s="8">
        <v>19</v>
      </c>
    </row>
    <row r="33" spans="1:11" x14ac:dyDescent="0.25">
      <c r="A33" s="3">
        <v>15</v>
      </c>
      <c r="B33" s="6">
        <v>15</v>
      </c>
      <c r="G33" s="4">
        <v>45044</v>
      </c>
      <c r="H33" s="8">
        <v>16</v>
      </c>
      <c r="J33" s="4">
        <v>45410</v>
      </c>
      <c r="K33" s="8">
        <v>16</v>
      </c>
    </row>
    <row r="34" spans="1:11" x14ac:dyDescent="0.25">
      <c r="A34" s="3">
        <v>16</v>
      </c>
      <c r="B34" s="6">
        <v>16</v>
      </c>
      <c r="G34" s="4">
        <v>45045</v>
      </c>
      <c r="H34" s="8">
        <v>14</v>
      </c>
      <c r="J34" s="4">
        <v>45411</v>
      </c>
      <c r="K34" s="8">
        <v>13</v>
      </c>
    </row>
    <row r="35" spans="1:11" x14ac:dyDescent="0.25">
      <c r="A35" s="3">
        <v>17</v>
      </c>
      <c r="B35" s="6">
        <v>17</v>
      </c>
      <c r="G35" s="4">
        <v>45046</v>
      </c>
      <c r="H35" s="8">
        <v>14</v>
      </c>
      <c r="J35" s="4">
        <v>45412</v>
      </c>
      <c r="K35" s="8">
        <v>16</v>
      </c>
    </row>
    <row r="36" spans="1:11" x14ac:dyDescent="0.25">
      <c r="A36" s="3">
        <v>18</v>
      </c>
      <c r="B36" s="6">
        <v>18</v>
      </c>
      <c r="G36" s="3" t="s">
        <v>11</v>
      </c>
      <c r="H36" s="8">
        <v>479</v>
      </c>
      <c r="J36" s="3" t="s">
        <v>11</v>
      </c>
      <c r="K36" s="8">
        <v>469</v>
      </c>
    </row>
    <row r="37" spans="1:11" x14ac:dyDescent="0.25">
      <c r="A37" s="3">
        <v>19</v>
      </c>
      <c r="B37" s="6">
        <v>19</v>
      </c>
    </row>
    <row r="38" spans="1:11" x14ac:dyDescent="0.25">
      <c r="A38" s="3">
        <v>20</v>
      </c>
      <c r="B38" s="6">
        <v>20</v>
      </c>
    </row>
    <row r="39" spans="1:11" x14ac:dyDescent="0.25">
      <c r="A39" s="3">
        <v>21</v>
      </c>
      <c r="B39" s="6">
        <v>21</v>
      </c>
    </row>
    <row r="40" spans="1:11" x14ac:dyDescent="0.25">
      <c r="A40" s="3">
        <v>22</v>
      </c>
      <c r="B40" s="6">
        <v>22</v>
      </c>
    </row>
    <row r="41" spans="1:11" x14ac:dyDescent="0.25">
      <c r="A41" s="3">
        <v>23</v>
      </c>
      <c r="B41" s="6">
        <v>23</v>
      </c>
    </row>
    <row r="42" spans="1:11" x14ac:dyDescent="0.25">
      <c r="A42" s="3">
        <v>24</v>
      </c>
      <c r="B42" s="6">
        <v>24</v>
      </c>
    </row>
    <row r="43" spans="1:11" x14ac:dyDescent="0.25">
      <c r="A43" s="3">
        <v>25</v>
      </c>
      <c r="B43" s="6">
        <v>25</v>
      </c>
    </row>
    <row r="44" spans="1:11" x14ac:dyDescent="0.25">
      <c r="A44" s="3">
        <v>26</v>
      </c>
      <c r="B44" s="6">
        <v>26</v>
      </c>
    </row>
    <row r="45" spans="1:11" x14ac:dyDescent="0.25">
      <c r="A45" s="3">
        <v>27</v>
      </c>
      <c r="B45" s="6">
        <v>27</v>
      </c>
    </row>
    <row r="46" spans="1:11" x14ac:dyDescent="0.25">
      <c r="A46" s="3">
        <v>28</v>
      </c>
      <c r="B46" s="6">
        <v>28</v>
      </c>
    </row>
    <row r="47" spans="1:11" x14ac:dyDescent="0.25">
      <c r="A47" s="3">
        <v>29</v>
      </c>
      <c r="B47" s="6">
        <v>29</v>
      </c>
    </row>
    <row r="48" spans="1:11" x14ac:dyDescent="0.25">
      <c r="A48" s="3">
        <v>30</v>
      </c>
      <c r="B48" s="6">
        <v>30</v>
      </c>
    </row>
    <row r="49" spans="1:2" x14ac:dyDescent="0.25">
      <c r="A49" s="3">
        <v>31</v>
      </c>
      <c r="B49" s="6">
        <v>31</v>
      </c>
    </row>
    <row r="50" spans="1:2" x14ac:dyDescent="0.25">
      <c r="A50" s="3">
        <v>32</v>
      </c>
      <c r="B50" s="6">
        <v>32</v>
      </c>
    </row>
    <row r="51" spans="1:2" x14ac:dyDescent="0.25">
      <c r="A51" s="3">
        <v>33</v>
      </c>
      <c r="B51" s="6">
        <v>33</v>
      </c>
    </row>
    <row r="52" spans="1:2" x14ac:dyDescent="0.25">
      <c r="A52" s="3">
        <v>34</v>
      </c>
      <c r="B52" s="6">
        <v>34</v>
      </c>
    </row>
    <row r="53" spans="1:2" x14ac:dyDescent="0.25">
      <c r="A53" s="3">
        <v>35</v>
      </c>
      <c r="B53" s="6">
        <v>35</v>
      </c>
    </row>
    <row r="54" spans="1:2" x14ac:dyDescent="0.25">
      <c r="A54" s="3">
        <v>36</v>
      </c>
      <c r="B54" s="6">
        <v>36</v>
      </c>
    </row>
    <row r="55" spans="1:2" x14ac:dyDescent="0.25">
      <c r="A55" s="3">
        <v>37</v>
      </c>
      <c r="B55" s="6">
        <v>37</v>
      </c>
    </row>
    <row r="56" spans="1:2" x14ac:dyDescent="0.25">
      <c r="A56" s="3">
        <v>38</v>
      </c>
      <c r="B56" s="6">
        <v>38</v>
      </c>
    </row>
    <row r="57" spans="1:2" x14ac:dyDescent="0.25">
      <c r="A57" s="3">
        <v>39</v>
      </c>
      <c r="B57" s="6">
        <v>39</v>
      </c>
    </row>
    <row r="58" spans="1:2" x14ac:dyDescent="0.25">
      <c r="A58" s="3">
        <v>40</v>
      </c>
      <c r="B58" s="6">
        <v>40</v>
      </c>
    </row>
    <row r="59" spans="1:2" x14ac:dyDescent="0.25">
      <c r="A59" s="3">
        <v>41</v>
      </c>
      <c r="B59" s="6">
        <v>41</v>
      </c>
    </row>
    <row r="60" spans="1:2" x14ac:dyDescent="0.25">
      <c r="A60" s="3">
        <v>42</v>
      </c>
      <c r="B60" s="6">
        <v>42</v>
      </c>
    </row>
    <row r="61" spans="1:2" x14ac:dyDescent="0.25">
      <c r="A61" s="3">
        <v>43</v>
      </c>
      <c r="B61" s="6">
        <v>43</v>
      </c>
    </row>
    <row r="62" spans="1:2" x14ac:dyDescent="0.25">
      <c r="A62" s="3">
        <v>44</v>
      </c>
      <c r="B62" s="6">
        <v>44</v>
      </c>
    </row>
    <row r="63" spans="1:2" x14ac:dyDescent="0.25">
      <c r="A63" s="3">
        <v>45</v>
      </c>
      <c r="B63" s="6">
        <v>45</v>
      </c>
    </row>
    <row r="64" spans="1:2" x14ac:dyDescent="0.25">
      <c r="A64" s="3">
        <v>46</v>
      </c>
      <c r="B64" s="6">
        <v>46</v>
      </c>
    </row>
    <row r="65" spans="1:2" x14ac:dyDescent="0.25">
      <c r="A65" s="3">
        <v>47</v>
      </c>
      <c r="B65" s="6">
        <v>47</v>
      </c>
    </row>
    <row r="66" spans="1:2" x14ac:dyDescent="0.25">
      <c r="A66" s="3">
        <v>48</v>
      </c>
      <c r="B66" s="6">
        <v>48</v>
      </c>
    </row>
    <row r="67" spans="1:2" x14ac:dyDescent="0.25">
      <c r="A67" s="3">
        <v>49</v>
      </c>
      <c r="B67" s="6">
        <v>49</v>
      </c>
    </row>
    <row r="68" spans="1:2" x14ac:dyDescent="0.25">
      <c r="A68" s="3">
        <v>50</v>
      </c>
      <c r="B68" s="6">
        <v>50</v>
      </c>
    </row>
    <row r="69" spans="1:2" x14ac:dyDescent="0.25">
      <c r="A69" s="3">
        <v>51</v>
      </c>
      <c r="B69" s="6">
        <v>51</v>
      </c>
    </row>
    <row r="70" spans="1:2" x14ac:dyDescent="0.25">
      <c r="A70" s="3">
        <v>52</v>
      </c>
      <c r="B70" s="6">
        <v>52</v>
      </c>
    </row>
    <row r="71" spans="1:2" x14ac:dyDescent="0.25">
      <c r="A71" s="3">
        <v>53</v>
      </c>
      <c r="B71" s="6">
        <v>53</v>
      </c>
    </row>
    <row r="72" spans="1:2" x14ac:dyDescent="0.25">
      <c r="A72" s="3">
        <v>54</v>
      </c>
      <c r="B72" s="6">
        <v>54</v>
      </c>
    </row>
    <row r="73" spans="1:2" x14ac:dyDescent="0.25">
      <c r="A73" s="3">
        <v>55</v>
      </c>
      <c r="B73" s="6">
        <v>55</v>
      </c>
    </row>
    <row r="74" spans="1:2" x14ac:dyDescent="0.25">
      <c r="A74" s="3">
        <v>56</v>
      </c>
      <c r="B74" s="6">
        <v>56</v>
      </c>
    </row>
    <row r="75" spans="1:2" x14ac:dyDescent="0.25">
      <c r="A75" s="3">
        <v>57</v>
      </c>
      <c r="B75" s="6">
        <v>57</v>
      </c>
    </row>
    <row r="76" spans="1:2" x14ac:dyDescent="0.25">
      <c r="A76" s="3">
        <v>58</v>
      </c>
      <c r="B76" s="6">
        <v>58</v>
      </c>
    </row>
    <row r="77" spans="1:2" x14ac:dyDescent="0.25">
      <c r="A77" s="3">
        <v>59</v>
      </c>
      <c r="B77" s="6">
        <v>59</v>
      </c>
    </row>
    <row r="78" spans="1:2" x14ac:dyDescent="0.25">
      <c r="A78" s="3">
        <v>60</v>
      </c>
      <c r="B78" s="6">
        <v>60</v>
      </c>
    </row>
    <row r="79" spans="1:2" x14ac:dyDescent="0.25">
      <c r="A79" s="3" t="s">
        <v>11</v>
      </c>
      <c r="B79" s="6">
        <v>34.972573839662445</v>
      </c>
    </row>
    <row r="81" spans="1:6" x14ac:dyDescent="0.25">
      <c r="A81" s="2" t="s">
        <v>31</v>
      </c>
      <c r="B81" s="2" t="s">
        <v>34</v>
      </c>
    </row>
    <row r="82" spans="1:6" x14ac:dyDescent="0.25">
      <c r="A82" s="2" t="s">
        <v>10</v>
      </c>
      <c r="B82" t="s">
        <v>12</v>
      </c>
      <c r="C82" t="s">
        <v>33</v>
      </c>
      <c r="D82" t="s">
        <v>11</v>
      </c>
    </row>
    <row r="83" spans="1:6" x14ac:dyDescent="0.25">
      <c r="A83" s="3" t="s">
        <v>29</v>
      </c>
      <c r="B83" s="8">
        <v>242</v>
      </c>
      <c r="C83" s="8">
        <v>252</v>
      </c>
      <c r="D83" s="8">
        <v>494</v>
      </c>
      <c r="E83" s="7">
        <f>B83/B85</f>
        <v>0.50521920668058451</v>
      </c>
      <c r="F83" s="7">
        <f>D83/D85</f>
        <v>0.52109704641350207</v>
      </c>
    </row>
    <row r="84" spans="1:6" x14ac:dyDescent="0.25">
      <c r="A84" s="3" t="s">
        <v>30</v>
      </c>
      <c r="B84" s="8">
        <v>237</v>
      </c>
      <c r="C84" s="8">
        <v>217</v>
      </c>
      <c r="D84" s="8">
        <v>454</v>
      </c>
      <c r="E84" s="7">
        <f>B84/B85</f>
        <v>0.49478079331941544</v>
      </c>
      <c r="F84" s="7">
        <f>D84/D85</f>
        <v>0.47890295358649787</v>
      </c>
    </row>
    <row r="85" spans="1:6" x14ac:dyDescent="0.25">
      <c r="A85" s="3" t="s">
        <v>11</v>
      </c>
      <c r="B85" s="8">
        <v>479</v>
      </c>
      <c r="C85" s="8">
        <v>469</v>
      </c>
      <c r="D85" s="8">
        <v>948</v>
      </c>
    </row>
    <row r="90" spans="1:6" x14ac:dyDescent="0.25">
      <c r="A90" s="2" t="s">
        <v>23</v>
      </c>
      <c r="B90" s="2" t="s">
        <v>34</v>
      </c>
    </row>
    <row r="91" spans="1:6" x14ac:dyDescent="0.25">
      <c r="A91" s="2" t="s">
        <v>10</v>
      </c>
      <c r="B91" t="s">
        <v>12</v>
      </c>
      <c r="C91" t="s">
        <v>33</v>
      </c>
      <c r="D91" t="s">
        <v>11</v>
      </c>
    </row>
    <row r="92" spans="1:6" x14ac:dyDescent="0.25">
      <c r="A92" s="3" t="s">
        <v>8</v>
      </c>
      <c r="B92" s="8">
        <v>18</v>
      </c>
      <c r="C92" s="8">
        <v>13</v>
      </c>
      <c r="D92" s="8">
        <v>31</v>
      </c>
    </row>
    <row r="93" spans="1:6" x14ac:dyDescent="0.25">
      <c r="A93" s="3" t="s">
        <v>4</v>
      </c>
      <c r="B93" s="8">
        <v>12</v>
      </c>
      <c r="C93" s="8">
        <v>8</v>
      </c>
      <c r="D93" s="8">
        <v>20</v>
      </c>
    </row>
    <row r="94" spans="1:6" x14ac:dyDescent="0.25">
      <c r="A94" s="3" t="s">
        <v>1</v>
      </c>
      <c r="B94" s="8">
        <v>115</v>
      </c>
      <c r="C94" s="8">
        <v>92</v>
      </c>
      <c r="D94" s="8">
        <v>207</v>
      </c>
    </row>
    <row r="95" spans="1:6" x14ac:dyDescent="0.25">
      <c r="A95" s="3" t="s">
        <v>7</v>
      </c>
      <c r="B95" s="8">
        <v>11</v>
      </c>
      <c r="C95" s="8">
        <v>10</v>
      </c>
      <c r="D95" s="8">
        <v>21</v>
      </c>
    </row>
    <row r="96" spans="1:6" x14ac:dyDescent="0.25">
      <c r="A96" s="3" t="s">
        <v>0</v>
      </c>
      <c r="B96" s="8">
        <v>263</v>
      </c>
      <c r="C96" s="8">
        <v>284</v>
      </c>
      <c r="D96" s="8">
        <v>547</v>
      </c>
    </row>
    <row r="97" spans="1:4" x14ac:dyDescent="0.25">
      <c r="A97" s="3" t="s">
        <v>3</v>
      </c>
      <c r="B97" s="8">
        <v>45</v>
      </c>
      <c r="C97" s="8">
        <v>44</v>
      </c>
      <c r="D97" s="8">
        <v>89</v>
      </c>
    </row>
    <row r="98" spans="1:4" x14ac:dyDescent="0.25">
      <c r="A98" s="3" t="s">
        <v>5</v>
      </c>
      <c r="B98" s="8">
        <v>11</v>
      </c>
      <c r="C98" s="8">
        <v>15</v>
      </c>
      <c r="D98" s="8">
        <v>26</v>
      </c>
    </row>
    <row r="99" spans="1:4" x14ac:dyDescent="0.25">
      <c r="A99" s="3" t="s">
        <v>9</v>
      </c>
      <c r="B99" s="8">
        <v>4</v>
      </c>
      <c r="C99" s="8">
        <v>3</v>
      </c>
      <c r="D99" s="8">
        <v>7</v>
      </c>
    </row>
    <row r="100" spans="1:4" x14ac:dyDescent="0.25">
      <c r="A100" s="3" t="s">
        <v>11</v>
      </c>
      <c r="B100" s="8">
        <v>479</v>
      </c>
      <c r="C100" s="8">
        <v>469</v>
      </c>
      <c r="D100" s="8">
        <v>948</v>
      </c>
    </row>
    <row r="109" spans="1:4" x14ac:dyDescent="0.25">
      <c r="A109" s="2" t="s">
        <v>32</v>
      </c>
      <c r="B109" s="2" t="s">
        <v>34</v>
      </c>
    </row>
    <row r="110" spans="1:4" x14ac:dyDescent="0.25">
      <c r="A110" s="2" t="s">
        <v>10</v>
      </c>
      <c r="B110" t="s">
        <v>12</v>
      </c>
      <c r="C110" t="s">
        <v>33</v>
      </c>
      <c r="D110" t="s">
        <v>11</v>
      </c>
    </row>
    <row r="111" spans="1:4" x14ac:dyDescent="0.25">
      <c r="A111" s="3" t="s">
        <v>15</v>
      </c>
      <c r="B111" s="8">
        <v>58</v>
      </c>
      <c r="C111" s="8">
        <v>50</v>
      </c>
      <c r="D111" s="8">
        <v>108</v>
      </c>
    </row>
    <row r="112" spans="1:4" x14ac:dyDescent="0.25">
      <c r="A112" s="3" t="s">
        <v>16</v>
      </c>
      <c r="B112" s="8">
        <v>75</v>
      </c>
      <c r="C112" s="8">
        <v>58</v>
      </c>
      <c r="D112" s="8">
        <v>133</v>
      </c>
    </row>
    <row r="113" spans="1:5" x14ac:dyDescent="0.25">
      <c r="A113" s="3" t="s">
        <v>17</v>
      </c>
      <c r="B113" s="8">
        <v>61</v>
      </c>
      <c r="C113" s="8">
        <v>71</v>
      </c>
      <c r="D113" s="8">
        <v>132</v>
      </c>
    </row>
    <row r="114" spans="1:5" x14ac:dyDescent="0.25">
      <c r="A114" s="3" t="s">
        <v>18</v>
      </c>
      <c r="B114" s="8">
        <v>60</v>
      </c>
      <c r="C114" s="8">
        <v>63</v>
      </c>
      <c r="D114" s="8">
        <v>123</v>
      </c>
    </row>
    <row r="115" spans="1:5" x14ac:dyDescent="0.25">
      <c r="A115" s="3" t="s">
        <v>19</v>
      </c>
      <c r="B115" s="8">
        <v>43</v>
      </c>
      <c r="C115" s="8">
        <v>54</v>
      </c>
      <c r="D115" s="8">
        <v>97</v>
      </c>
    </row>
    <row r="116" spans="1:5" x14ac:dyDescent="0.25">
      <c r="A116" s="3" t="s">
        <v>20</v>
      </c>
      <c r="B116" s="8">
        <v>54</v>
      </c>
      <c r="C116" s="8">
        <v>59</v>
      </c>
      <c r="D116" s="8">
        <v>113</v>
      </c>
    </row>
    <row r="117" spans="1:5" x14ac:dyDescent="0.25">
      <c r="A117" s="3" t="s">
        <v>21</v>
      </c>
      <c r="B117" s="8">
        <v>66</v>
      </c>
      <c r="C117" s="8">
        <v>51</v>
      </c>
      <c r="D117" s="8">
        <v>117</v>
      </c>
    </row>
    <row r="118" spans="1:5" x14ac:dyDescent="0.25">
      <c r="A118" s="3" t="s">
        <v>22</v>
      </c>
      <c r="B118" s="8">
        <v>62</v>
      </c>
      <c r="C118" s="8">
        <v>63</v>
      </c>
      <c r="D118" s="8">
        <v>125</v>
      </c>
    </row>
    <row r="119" spans="1:5" x14ac:dyDescent="0.25">
      <c r="A119" s="3" t="s">
        <v>11</v>
      </c>
      <c r="B119" s="8">
        <v>479</v>
      </c>
      <c r="C119" s="8">
        <v>469</v>
      </c>
      <c r="D119" s="8">
        <v>948</v>
      </c>
    </row>
    <row r="122" spans="1:5" x14ac:dyDescent="0.25">
      <c r="A122" s="2" t="s">
        <v>27</v>
      </c>
      <c r="B122" s="2" t="s">
        <v>34</v>
      </c>
    </row>
    <row r="123" spans="1:5" x14ac:dyDescent="0.25">
      <c r="A123" s="2" t="s">
        <v>10</v>
      </c>
      <c r="B123" t="s">
        <v>12</v>
      </c>
      <c r="C123" t="s">
        <v>11</v>
      </c>
    </row>
    <row r="124" spans="1:5" x14ac:dyDescent="0.25">
      <c r="A124" s="3" t="s">
        <v>6</v>
      </c>
      <c r="B124" s="8">
        <v>235</v>
      </c>
      <c r="C124" s="8">
        <v>235</v>
      </c>
      <c r="E124" s="9">
        <f>B124/B126</f>
        <v>0.49060542797494783</v>
      </c>
    </row>
    <row r="125" spans="1:5" x14ac:dyDescent="0.25">
      <c r="A125" s="3" t="s">
        <v>2</v>
      </c>
      <c r="B125" s="8">
        <v>244</v>
      </c>
      <c r="C125" s="8">
        <v>244</v>
      </c>
      <c r="E125" s="9">
        <f>B125/B126</f>
        <v>0.50939457202505223</v>
      </c>
    </row>
    <row r="126" spans="1:5" x14ac:dyDescent="0.25">
      <c r="A126" s="3" t="s">
        <v>11</v>
      </c>
      <c r="B126" s="8">
        <v>479</v>
      </c>
      <c r="C126" s="8">
        <v>479</v>
      </c>
    </row>
    <row r="129" spans="1:3" x14ac:dyDescent="0.25">
      <c r="A129" s="2" t="s">
        <v>27</v>
      </c>
      <c r="B129" s="2" t="s">
        <v>34</v>
      </c>
    </row>
    <row r="130" spans="1:3" x14ac:dyDescent="0.25">
      <c r="A130" s="2" t="s">
        <v>10</v>
      </c>
      <c r="B130" t="s">
        <v>33</v>
      </c>
      <c r="C130" t="s">
        <v>11</v>
      </c>
    </row>
    <row r="131" spans="1:3" x14ac:dyDescent="0.25">
      <c r="A131" s="3" t="s">
        <v>6</v>
      </c>
      <c r="B131" s="8">
        <v>241</v>
      </c>
      <c r="C131" s="8">
        <v>241</v>
      </c>
    </row>
    <row r="132" spans="1:3" x14ac:dyDescent="0.25">
      <c r="A132" s="3" t="s">
        <v>2</v>
      </c>
      <c r="B132" s="8">
        <v>228</v>
      </c>
      <c r="C132" s="8">
        <v>228</v>
      </c>
    </row>
    <row r="133" spans="1:3" x14ac:dyDescent="0.25">
      <c r="A133" s="3" t="s">
        <v>11</v>
      </c>
      <c r="B133" s="8">
        <v>469</v>
      </c>
      <c r="C133" s="8">
        <v>469</v>
      </c>
    </row>
  </sheetData>
  <sheetProtection algorithmName="SHA-512" hashValue="nClN9T6coinETltUSLnh3TE2IYgtIRQPbqsWb5T6X1ZkEXrB7VgWpzxKSKQEu44wXmc+rmHRHkkTwgxrXiHJHQ==" saltValue="XsZoIp3dSFoXmQNMt0N5Bg==" spinCount="100000" sheet="1" formatCells="0" formatColumns="0" formatRows="0" insertColumns="0" insertRows="0" insertHyperlinks="0" deleteColumns="0" deleteRows="0" sort="0" autoFilter="0" pivotTables="0"/>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3081-FDC4-44C6-8C93-03F806E94D88}">
  <dimension ref="A1:U22"/>
  <sheetViews>
    <sheetView showGridLines="0" tabSelected="1" workbookViewId="0">
      <selection activeCell="J2" sqref="J2"/>
    </sheetView>
  </sheetViews>
  <sheetFormatPr defaultRowHeight="15" x14ac:dyDescent="0.25"/>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x14ac:dyDescent="0.25">
      <c r="A3" s="1"/>
      <c r="B3" s="1"/>
      <c r="C3" s="1"/>
      <c r="D3" s="1"/>
      <c r="E3" s="1"/>
      <c r="F3" s="1"/>
      <c r="G3" s="1"/>
      <c r="H3" s="1"/>
      <c r="I3" s="1"/>
      <c r="J3" s="1"/>
      <c r="K3" s="1"/>
      <c r="L3" s="1"/>
      <c r="M3" s="1"/>
      <c r="N3" s="1"/>
      <c r="O3" s="1"/>
      <c r="P3" s="1"/>
      <c r="Q3" s="1"/>
      <c r="R3" s="1"/>
      <c r="S3" s="1"/>
      <c r="T3" s="1"/>
      <c r="U3" s="1"/>
    </row>
    <row r="4" spans="1:21" x14ac:dyDescent="0.25">
      <c r="A4" s="1"/>
      <c r="B4" s="1"/>
      <c r="C4" s="1"/>
      <c r="D4" s="1"/>
      <c r="E4" s="1"/>
      <c r="F4" s="1"/>
      <c r="G4" s="1"/>
      <c r="H4" s="1"/>
      <c r="I4" s="1"/>
      <c r="J4" s="1"/>
      <c r="K4" s="1"/>
      <c r="L4" s="1"/>
      <c r="M4" s="1"/>
      <c r="N4" s="1"/>
      <c r="O4" s="1"/>
      <c r="P4" s="1"/>
      <c r="Q4" s="1"/>
      <c r="R4" s="1"/>
      <c r="S4" s="1"/>
      <c r="T4" s="1"/>
      <c r="U4" s="1"/>
    </row>
    <row r="5" spans="1:21" x14ac:dyDescent="0.25">
      <c r="A5" s="1"/>
      <c r="B5" s="1"/>
      <c r="C5" s="1"/>
      <c r="D5" s="1"/>
      <c r="E5" s="1"/>
      <c r="F5" s="1"/>
      <c r="G5" s="1"/>
      <c r="H5" s="1"/>
      <c r="I5" s="1"/>
      <c r="J5" s="1"/>
      <c r="K5" s="1"/>
      <c r="L5" s="1"/>
      <c r="M5" s="1"/>
      <c r="N5" s="1"/>
      <c r="O5" s="1"/>
      <c r="P5" s="1"/>
      <c r="Q5" s="1"/>
      <c r="R5" s="1"/>
      <c r="S5" s="1"/>
      <c r="T5" s="1"/>
      <c r="U5" s="1"/>
    </row>
    <row r="6" spans="1:21" x14ac:dyDescent="0.25">
      <c r="A6" s="1"/>
      <c r="B6" s="1"/>
      <c r="C6" s="1"/>
      <c r="D6" s="1"/>
      <c r="E6" s="1"/>
      <c r="F6" s="1"/>
      <c r="G6" s="1"/>
      <c r="H6" s="1"/>
      <c r="I6" s="1"/>
      <c r="J6" s="1"/>
      <c r="K6" s="1"/>
      <c r="L6" s="1"/>
      <c r="M6" s="1"/>
      <c r="N6" s="1"/>
      <c r="O6" s="1"/>
      <c r="P6" s="1"/>
      <c r="Q6" s="1"/>
      <c r="R6" s="1"/>
      <c r="S6" s="1"/>
      <c r="T6" s="1"/>
      <c r="U6" s="1"/>
    </row>
    <row r="7" spans="1:21" x14ac:dyDescent="0.25">
      <c r="A7" s="1"/>
      <c r="B7" s="1"/>
      <c r="C7" s="1"/>
      <c r="D7" s="1"/>
      <c r="E7" s="1"/>
      <c r="F7" s="1"/>
      <c r="G7" s="1"/>
      <c r="H7" s="1"/>
      <c r="I7" s="1"/>
      <c r="J7" s="1"/>
      <c r="K7" s="1"/>
      <c r="L7" s="1"/>
      <c r="M7" s="1"/>
      <c r="N7" s="1"/>
      <c r="O7" s="1"/>
      <c r="P7" s="1"/>
      <c r="Q7" s="1"/>
      <c r="R7" s="1"/>
      <c r="S7" s="1"/>
      <c r="T7" s="1"/>
      <c r="U7" s="1"/>
    </row>
    <row r="8" spans="1:21" x14ac:dyDescent="0.25">
      <c r="A8" s="1"/>
      <c r="B8" s="1"/>
      <c r="C8" s="1"/>
      <c r="D8" s="1"/>
      <c r="E8" s="1"/>
      <c r="F8" s="1"/>
      <c r="G8" s="1"/>
      <c r="H8" s="1"/>
      <c r="I8" s="1"/>
      <c r="J8" s="1"/>
      <c r="K8" s="1"/>
      <c r="L8" s="1"/>
      <c r="M8" s="1"/>
      <c r="N8" s="1"/>
      <c r="O8" s="1"/>
      <c r="P8" s="1"/>
      <c r="Q8" s="1"/>
      <c r="R8" s="1"/>
      <c r="S8" s="1"/>
      <c r="T8" s="1"/>
      <c r="U8" s="1"/>
    </row>
    <row r="9" spans="1:21" x14ac:dyDescent="0.25">
      <c r="A9" s="1"/>
      <c r="B9" s="1"/>
      <c r="C9" s="1"/>
      <c r="D9" s="1"/>
      <c r="E9" s="1"/>
      <c r="F9" s="1"/>
      <c r="G9" s="1"/>
      <c r="H9" s="1"/>
      <c r="I9" s="1"/>
      <c r="J9" s="1"/>
      <c r="K9" s="1"/>
      <c r="L9" s="1"/>
      <c r="M9" s="1"/>
      <c r="N9" s="1"/>
      <c r="O9" s="1"/>
      <c r="P9" s="1"/>
      <c r="Q9" s="1"/>
      <c r="R9" s="1"/>
      <c r="S9" s="1"/>
      <c r="T9" s="1"/>
      <c r="U9" s="1"/>
    </row>
    <row r="10" spans="1:21" x14ac:dyDescent="0.25">
      <c r="A10" s="1"/>
      <c r="B10" s="1"/>
      <c r="C10" s="1"/>
      <c r="D10" s="1"/>
      <c r="E10" s="1"/>
      <c r="F10" s="1"/>
      <c r="G10" s="1"/>
      <c r="H10" s="1"/>
      <c r="I10" s="1"/>
      <c r="J10" s="1"/>
      <c r="K10" s="1"/>
      <c r="L10" s="1"/>
      <c r="M10" s="1"/>
      <c r="N10" s="1"/>
      <c r="O10" s="1"/>
      <c r="P10" s="1"/>
      <c r="Q10" s="1"/>
      <c r="R10" s="1"/>
      <c r="S10" s="1"/>
      <c r="T10" s="1"/>
      <c r="U10" s="1"/>
    </row>
    <row r="11" spans="1:21" x14ac:dyDescent="0.25">
      <c r="A11" s="1"/>
      <c r="B11" s="1"/>
      <c r="C11" s="1"/>
      <c r="D11" s="1"/>
      <c r="E11" s="1"/>
      <c r="F11" s="1"/>
      <c r="G11" s="1"/>
      <c r="H11" s="1"/>
      <c r="I11" s="1"/>
      <c r="J11" s="1"/>
      <c r="K11" s="1"/>
      <c r="L11" s="1"/>
      <c r="M11" s="1"/>
      <c r="N11" s="1"/>
      <c r="O11" s="1"/>
      <c r="P11" s="1"/>
      <c r="Q11" s="1"/>
      <c r="R11" s="1"/>
      <c r="S11" s="1"/>
      <c r="T11" s="1"/>
      <c r="U11" s="1"/>
    </row>
    <row r="12" spans="1:21" x14ac:dyDescent="0.25">
      <c r="A12" s="1"/>
      <c r="B12" s="1"/>
      <c r="C12" s="1"/>
      <c r="D12" s="1"/>
      <c r="E12" s="1"/>
      <c r="F12" s="1"/>
      <c r="G12" s="1"/>
      <c r="H12" s="1"/>
      <c r="I12" s="1"/>
      <c r="J12" s="1"/>
      <c r="K12" s="1"/>
      <c r="L12" s="1"/>
      <c r="M12" s="1"/>
      <c r="N12" s="1"/>
      <c r="O12" s="1"/>
      <c r="P12" s="1"/>
      <c r="Q12" s="1"/>
      <c r="R12" s="1"/>
      <c r="S12" s="1"/>
      <c r="T12" s="1"/>
      <c r="U12" s="1"/>
    </row>
    <row r="13" spans="1:21" x14ac:dyDescent="0.25">
      <c r="A13" s="1"/>
      <c r="B13" s="1"/>
      <c r="C13" s="1"/>
      <c r="D13" s="1"/>
      <c r="E13" s="1"/>
      <c r="F13" s="1"/>
      <c r="G13" s="1"/>
      <c r="H13" s="1"/>
      <c r="I13" s="1"/>
      <c r="J13" s="1"/>
      <c r="K13" s="1"/>
      <c r="L13" s="1"/>
      <c r="M13" s="1"/>
      <c r="N13" s="1"/>
      <c r="O13" s="1"/>
      <c r="P13" s="1"/>
      <c r="Q13" s="1"/>
      <c r="R13" s="1"/>
      <c r="S13" s="1"/>
      <c r="T13" s="1"/>
      <c r="U13" s="1"/>
    </row>
    <row r="14" spans="1:21" x14ac:dyDescent="0.25">
      <c r="A14" s="1"/>
      <c r="B14" s="1"/>
      <c r="C14" s="1"/>
      <c r="D14" s="1"/>
      <c r="E14" s="1"/>
      <c r="F14" s="1"/>
      <c r="G14" s="1"/>
      <c r="H14" s="1"/>
      <c r="I14" s="1"/>
      <c r="J14" s="1"/>
      <c r="K14" s="1"/>
      <c r="L14" s="1"/>
      <c r="M14" s="1"/>
      <c r="N14" s="1"/>
      <c r="O14" s="1"/>
      <c r="P14" s="1"/>
      <c r="Q14" s="1"/>
      <c r="R14" s="1"/>
      <c r="S14" s="1"/>
      <c r="T14" s="1"/>
      <c r="U14" s="1"/>
    </row>
    <row r="15" spans="1:21" x14ac:dyDescent="0.25">
      <c r="A15" s="1"/>
      <c r="B15" s="1"/>
      <c r="C15" s="1"/>
      <c r="D15" s="1"/>
      <c r="E15" s="1"/>
      <c r="F15" s="1"/>
      <c r="G15" s="1"/>
      <c r="H15" s="1"/>
      <c r="I15" s="1"/>
      <c r="J15" s="1"/>
      <c r="K15" s="1"/>
      <c r="L15" s="1"/>
      <c r="M15" s="1"/>
      <c r="N15" s="1"/>
      <c r="O15" s="1"/>
      <c r="P15" s="1"/>
      <c r="Q15" s="1"/>
      <c r="R15" s="1"/>
      <c r="S15" s="1"/>
      <c r="T15" s="1"/>
      <c r="U15" s="1"/>
    </row>
    <row r="16" spans="1:21" x14ac:dyDescent="0.25">
      <c r="A16" s="1"/>
      <c r="B16" s="1"/>
      <c r="C16" s="1"/>
      <c r="D16" s="1"/>
      <c r="E16" s="1"/>
      <c r="F16" s="1"/>
      <c r="G16" s="1"/>
      <c r="H16" s="1"/>
      <c r="I16" s="1"/>
      <c r="J16" s="1"/>
      <c r="K16" s="1"/>
      <c r="L16" s="1"/>
      <c r="M16" s="1"/>
      <c r="N16" s="1"/>
      <c r="O16" s="1"/>
      <c r="P16" s="1"/>
      <c r="Q16" s="1"/>
      <c r="R16" s="1"/>
      <c r="S16" s="1"/>
      <c r="T16" s="1"/>
      <c r="U16" s="1"/>
    </row>
    <row r="17" spans="1:21" x14ac:dyDescent="0.25">
      <c r="A17" s="1"/>
      <c r="B17" s="1"/>
      <c r="C17" s="1"/>
      <c r="D17" s="1"/>
      <c r="E17" s="1"/>
      <c r="F17" s="1"/>
      <c r="G17" s="1"/>
      <c r="H17" s="1"/>
      <c r="I17" s="1"/>
      <c r="J17" s="1"/>
      <c r="K17" s="1"/>
      <c r="L17" s="1"/>
      <c r="M17" s="1"/>
      <c r="N17" s="1"/>
      <c r="O17" s="1"/>
      <c r="P17" s="1"/>
      <c r="Q17" s="1"/>
      <c r="R17" s="1"/>
      <c r="S17" s="1"/>
      <c r="T17" s="1"/>
      <c r="U17" s="1"/>
    </row>
    <row r="18" spans="1:21" x14ac:dyDescent="0.25">
      <c r="A18" s="1"/>
      <c r="B18" s="1"/>
      <c r="C18" s="1"/>
      <c r="D18" s="1"/>
      <c r="E18" s="1"/>
      <c r="F18" s="1"/>
      <c r="G18" s="1"/>
      <c r="H18" s="1"/>
      <c r="I18" s="1"/>
      <c r="J18" s="1"/>
      <c r="K18" s="1"/>
      <c r="L18" s="1"/>
      <c r="M18" s="1"/>
      <c r="N18" s="1"/>
      <c r="O18" s="1"/>
      <c r="P18" s="1"/>
      <c r="Q18" s="1"/>
      <c r="R18" s="1"/>
      <c r="S18" s="1"/>
      <c r="T18" s="1"/>
      <c r="U18" s="1"/>
    </row>
    <row r="19" spans="1:21" x14ac:dyDescent="0.25">
      <c r="A19" s="1"/>
      <c r="B19" s="1"/>
      <c r="C19" s="1"/>
      <c r="D19" s="1"/>
      <c r="E19" s="1"/>
      <c r="F19" s="1"/>
      <c r="G19" s="1"/>
      <c r="H19" s="1"/>
      <c r="I19" s="1"/>
      <c r="J19" s="1"/>
      <c r="K19" s="1"/>
      <c r="L19" s="1"/>
      <c r="M19" s="1"/>
      <c r="N19" s="1"/>
      <c r="O19" s="1"/>
      <c r="P19" s="1"/>
      <c r="Q19" s="1"/>
      <c r="R19" s="1"/>
      <c r="S19" s="1"/>
      <c r="T19" s="1"/>
      <c r="U19" s="1"/>
    </row>
    <row r="20" spans="1:21" x14ac:dyDescent="0.25">
      <c r="A20" s="1"/>
      <c r="B20" s="1"/>
      <c r="C20" s="1"/>
      <c r="D20" s="1"/>
      <c r="E20" s="1"/>
      <c r="F20" s="1"/>
      <c r="G20" s="1"/>
      <c r="H20" s="1"/>
      <c r="I20" s="1"/>
      <c r="J20" s="1"/>
      <c r="K20" s="1"/>
      <c r="L20" s="1"/>
      <c r="M20" s="1"/>
      <c r="N20" s="1"/>
      <c r="O20" s="1"/>
      <c r="P20" s="1"/>
      <c r="Q20" s="1"/>
      <c r="R20" s="1"/>
      <c r="S20" s="1"/>
      <c r="T20" s="1"/>
      <c r="U20" s="1"/>
    </row>
    <row r="21" spans="1:21" x14ac:dyDescent="0.25">
      <c r="A21" s="1"/>
      <c r="B21" s="1"/>
      <c r="C21" s="1"/>
      <c r="D21" s="1"/>
      <c r="E21" s="1"/>
      <c r="F21" s="1"/>
      <c r="G21" s="1"/>
      <c r="H21" s="1"/>
      <c r="I21" s="1"/>
      <c r="J21" s="1"/>
      <c r="K21" s="1"/>
      <c r="L21" s="1"/>
      <c r="M21" s="1"/>
      <c r="N21" s="1"/>
      <c r="O21" s="1"/>
      <c r="P21" s="1"/>
      <c r="Q21" s="1"/>
      <c r="R21" s="1"/>
      <c r="S21" s="1"/>
      <c r="T21" s="1"/>
      <c r="U21" s="1"/>
    </row>
    <row r="22" spans="1:21" x14ac:dyDescent="0.25">
      <c r="A22" s="1"/>
      <c r="B22" s="1"/>
      <c r="C22" s="1"/>
      <c r="D22" s="1"/>
      <c r="E22" s="1"/>
      <c r="F22" s="1"/>
      <c r="G22" s="1"/>
      <c r="H22" s="1"/>
      <c r="I22" s="1"/>
      <c r="J22" s="1"/>
      <c r="K22" s="1"/>
      <c r="L22" s="1"/>
      <c r="M22" s="1"/>
      <c r="N22" s="1"/>
      <c r="O22" s="1"/>
      <c r="P22" s="1"/>
      <c r="Q22" s="1"/>
      <c r="R22" s="1"/>
      <c r="S22" s="1"/>
      <c r="T22" s="1"/>
      <c r="U22" s="1"/>
    </row>
  </sheetData>
  <sheetProtection algorithmName="SHA-512" hashValue="i53Kco78MjLVF1crReMEF1beaMDk5epsSDW0xgePyuR+XMR9Z48tx4LyeZjQIJR3S0s2iELvGYTDTak4l44vKA==" saltValue="0mPR49ymDI1A8AdpwxRyzg==" spinCount="100000" sheet="1"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A83235CD-2550-41AD-BE98-9C23D30538EA}">
  <ds:schemaRefs/>
</ds:datastoreItem>
</file>

<file path=customXml/itemProps2.xml><?xml version="1.0" encoding="utf-8"?>
<ds:datastoreItem xmlns:ds="http://schemas.openxmlformats.org/officeDocument/2006/customXml" ds:itemID="{FB86CD4F-9F1A-4063-81BD-A2DCA98CCB36}">
  <ds:schemaRefs/>
</ds:datastoreItem>
</file>

<file path=customXml/itemProps3.xml><?xml version="1.0" encoding="utf-8"?>
<ds:datastoreItem xmlns:ds="http://schemas.openxmlformats.org/officeDocument/2006/customXml" ds:itemID="{FE5E2A3E-96DA-469A-8820-E6EE45C1615A}">
  <ds:schemaRefs/>
</ds:datastoreItem>
</file>

<file path=customXml/itemProps4.xml><?xml version="1.0" encoding="utf-8"?>
<ds:datastoreItem xmlns:ds="http://schemas.openxmlformats.org/officeDocument/2006/customXml" ds:itemID="{DC990036-F12B-459B-B659-2B5CD1D6911D}">
  <ds:schemaRefs/>
</ds:datastoreItem>
</file>

<file path=customXml/itemProps5.xml><?xml version="1.0" encoding="utf-8"?>
<ds:datastoreItem xmlns:ds="http://schemas.openxmlformats.org/officeDocument/2006/customXml" ds:itemID="{6F12A0FE-7AAC-463A-A627-8E0C6E5829E6}">
  <ds:schemaRefs/>
</ds:datastoreItem>
</file>

<file path=customXml/itemProps6.xml><?xml version="1.0" encoding="utf-8"?>
<ds:datastoreItem xmlns:ds="http://schemas.openxmlformats.org/officeDocument/2006/customXml" ds:itemID="{27577A8C-5424-4DA7-9BA8-0D9C1D51A039}">
  <ds:schemaRefs/>
</ds:datastoreItem>
</file>

<file path=customXml/itemProps7.xml><?xml version="1.0" encoding="utf-8"?>
<ds:datastoreItem xmlns:ds="http://schemas.openxmlformats.org/officeDocument/2006/customXml" ds:itemID="{8771117D-9AD8-4E5B-B517-7D4C4702F9EA}">
  <ds:schemaRefs/>
</ds:datastoreItem>
</file>

<file path=customXml/itemProps8.xml><?xml version="1.0" encoding="utf-8"?>
<ds:datastoreItem xmlns:ds="http://schemas.openxmlformats.org/officeDocument/2006/customXml" ds:itemID="{A20664A4-BC78-4D52-88E0-9679009FAC9B}">
  <ds:schemaRefs/>
</ds:datastoreItem>
</file>

<file path=customXml/itemProps9.xml><?xml version="1.0" encoding="utf-8"?>
<ds:datastoreItem xmlns:ds="http://schemas.openxmlformats.org/officeDocument/2006/customXml" ds:itemID="{86938C1F-D63C-462A-B185-424F3DDB980A}">
  <ds:schemaRefs/>
</ds:datastoreItem>
</file>

<file path=customXml/itemProps10.xml><?xml version="1.0" encoding="utf-8"?>
<ds:datastoreItem xmlns:ds="http://schemas.openxmlformats.org/officeDocument/2006/customXml" ds:itemID="{9BD4EF08-F175-430A-AABF-B929D7CA36B3}">
  <ds:schemaRefs/>
</ds:datastoreItem>
</file>

<file path=customXml/itemProps11.xml><?xml version="1.0" encoding="utf-8"?>
<ds:datastoreItem xmlns:ds="http://schemas.openxmlformats.org/officeDocument/2006/customXml" ds:itemID="{066BA59C-E189-4347-838B-0F36FACFA3F0}">
  <ds:schemaRefs/>
</ds:datastoreItem>
</file>

<file path=customXml/itemProps12.xml><?xml version="1.0" encoding="utf-8"?>
<ds:datastoreItem xmlns:ds="http://schemas.openxmlformats.org/officeDocument/2006/customXml" ds:itemID="{BE8DF903-E921-45F8-912F-5DCE347DCD38}">
  <ds:schemaRefs/>
</ds:datastoreItem>
</file>

<file path=customXml/itemProps13.xml><?xml version="1.0" encoding="utf-8"?>
<ds:datastoreItem xmlns:ds="http://schemas.openxmlformats.org/officeDocument/2006/customXml" ds:itemID="{88D1D72D-BC11-42FD-B184-CA7F7BD3B1F0}">
  <ds:schemaRefs/>
</ds:datastoreItem>
</file>

<file path=customXml/itemProps14.xml><?xml version="1.0" encoding="utf-8"?>
<ds:datastoreItem xmlns:ds="http://schemas.openxmlformats.org/officeDocument/2006/customXml" ds:itemID="{50346143-8D31-475E-AAC7-2E7B976AE49A}">
  <ds:schemaRefs/>
</ds:datastoreItem>
</file>

<file path=customXml/itemProps15.xml><?xml version="1.0" encoding="utf-8"?>
<ds:datastoreItem xmlns:ds="http://schemas.openxmlformats.org/officeDocument/2006/customXml" ds:itemID="{391C131E-BE55-40A7-9074-D570B10C9018}">
  <ds:schemaRefs>
    <ds:schemaRef ds:uri="http://schemas.microsoft.com/DataMashup"/>
  </ds:schemaRefs>
</ds:datastoreItem>
</file>

<file path=customXml/itemProps16.xml><?xml version="1.0" encoding="utf-8"?>
<ds:datastoreItem xmlns:ds="http://schemas.openxmlformats.org/officeDocument/2006/customXml" ds:itemID="{09DB6DC5-E01F-460E-8207-CDB2ECFD78BC}">
  <ds:schemaRefs/>
</ds:datastoreItem>
</file>

<file path=customXml/itemProps17.xml><?xml version="1.0" encoding="utf-8"?>
<ds:datastoreItem xmlns:ds="http://schemas.openxmlformats.org/officeDocument/2006/customXml" ds:itemID="{95976F6C-9F5A-4D57-9D9F-1B1F5D338CD8}">
  <ds:schemaRefs/>
</ds:datastoreItem>
</file>

<file path=customXml/itemProps18.xml><?xml version="1.0" encoding="utf-8"?>
<ds:datastoreItem xmlns:ds="http://schemas.openxmlformats.org/officeDocument/2006/customXml" ds:itemID="{689CA8BE-B60E-4B50-A968-6045D4008BF9}">
  <ds:schemaRefs/>
</ds:datastoreItem>
</file>

<file path=customXml/itemProps19.xml><?xml version="1.0" encoding="utf-8"?>
<ds:datastoreItem xmlns:ds="http://schemas.openxmlformats.org/officeDocument/2006/customXml" ds:itemID="{BDD9D216-05CD-4C61-A731-2DE0F9ABE775}">
  <ds:schemaRefs/>
</ds:datastoreItem>
</file>

<file path=customXml/itemProps20.xml><?xml version="1.0" encoding="utf-8"?>
<ds:datastoreItem xmlns:ds="http://schemas.openxmlformats.org/officeDocument/2006/customXml" ds:itemID="{70301DC7-8B9D-4918-A82D-7456A709E387}">
  <ds:schemaRefs/>
</ds:datastoreItem>
</file>

<file path=customXml/itemProps21.xml><?xml version="1.0" encoding="utf-8"?>
<ds:datastoreItem xmlns:ds="http://schemas.openxmlformats.org/officeDocument/2006/customXml" ds:itemID="{30D61695-3B94-4627-AEE2-11E0163357F8}">
  <ds:schemaRefs/>
</ds:datastoreItem>
</file>

<file path=customXml/itemProps22.xml><?xml version="1.0" encoding="utf-8"?>
<ds:datastoreItem xmlns:ds="http://schemas.openxmlformats.org/officeDocument/2006/customXml" ds:itemID="{C47DEA7C-172E-44A2-8C14-D41045DE7925}">
  <ds:schemaRefs/>
</ds:datastoreItem>
</file>

<file path=customXml/itemProps23.xml><?xml version="1.0" encoding="utf-8"?>
<ds:datastoreItem xmlns:ds="http://schemas.openxmlformats.org/officeDocument/2006/customXml" ds:itemID="{663B876A-E985-459E-AC9C-82A905B464FB}">
  <ds:schemaRefs/>
</ds:datastoreItem>
</file>

<file path=customXml/itemProps24.xml><?xml version="1.0" encoding="utf-8"?>
<ds:datastoreItem xmlns:ds="http://schemas.openxmlformats.org/officeDocument/2006/customXml" ds:itemID="{2762D44D-4833-45E0-87CF-71E1509B2904}">
  <ds:schemaRefs/>
</ds:datastoreItem>
</file>

<file path=customXml/itemProps25.xml><?xml version="1.0" encoding="utf-8"?>
<ds:datastoreItem xmlns:ds="http://schemas.openxmlformats.org/officeDocument/2006/customXml" ds:itemID="{882C15BE-966D-43BA-AE83-8B1F58CB6748}">
  <ds:schemaRefs/>
</ds:datastoreItem>
</file>

<file path=customXml/itemProps26.xml><?xml version="1.0" encoding="utf-8"?>
<ds:datastoreItem xmlns:ds="http://schemas.openxmlformats.org/officeDocument/2006/customXml" ds:itemID="{B6D68634-54D3-44F3-88D2-CBAC5977AC14}">
  <ds:schemaRefs/>
</ds:datastoreItem>
</file>

<file path=customXml/itemProps27.xml><?xml version="1.0" encoding="utf-8"?>
<ds:datastoreItem xmlns:ds="http://schemas.openxmlformats.org/officeDocument/2006/customXml" ds:itemID="{FCB6F419-9037-4871-AAB0-0EE689488E09}">
  <ds:schemaRefs/>
</ds:datastoreItem>
</file>

<file path=customXml/itemProps28.xml><?xml version="1.0" encoding="utf-8"?>
<ds:datastoreItem xmlns:ds="http://schemas.openxmlformats.org/officeDocument/2006/customXml" ds:itemID="{14D307BF-ECCA-44BB-84BE-A154864A913B}">
  <ds:schemaRefs/>
</ds:datastoreItem>
</file>

<file path=customXml/itemProps29.xml><?xml version="1.0" encoding="utf-8"?>
<ds:datastoreItem xmlns:ds="http://schemas.openxmlformats.org/officeDocument/2006/customXml" ds:itemID="{28CBC728-AED4-4170-B31A-4C073320B9CC}">
  <ds:schemaRefs/>
</ds:datastoreItem>
</file>

<file path=customXml/itemProps30.xml><?xml version="1.0" encoding="utf-8"?>
<ds:datastoreItem xmlns:ds="http://schemas.openxmlformats.org/officeDocument/2006/customXml" ds:itemID="{D89891BF-BA09-44C5-BB52-B0FE9CA25A2C}">
  <ds:schemaRefs/>
</ds:datastoreItem>
</file>

<file path=customXml/itemProps31.xml><?xml version="1.0" encoding="utf-8"?>
<ds:datastoreItem xmlns:ds="http://schemas.openxmlformats.org/officeDocument/2006/customXml" ds:itemID="{06318861-591C-4297-AA5E-64144AFDB164}">
  <ds:schemaRefs/>
</ds:datastoreItem>
</file>

<file path=customXml/itemProps32.xml><?xml version="1.0" encoding="utf-8"?>
<ds:datastoreItem xmlns:ds="http://schemas.openxmlformats.org/officeDocument/2006/customXml" ds:itemID="{8980178A-66B9-441B-9251-89B85D631F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Ujjal Kumar Dey</dc:creator>
  <cp:lastModifiedBy>ujjal Kumar Dey</cp:lastModifiedBy>
  <cp:lastPrinted>2025-06-28T16:44:28Z</cp:lastPrinted>
  <dcterms:created xsi:type="dcterms:W3CDTF">2025-06-28T14:40:00Z</dcterms:created>
  <dcterms:modified xsi:type="dcterms:W3CDTF">2025-07-01T09:12:03Z</dcterms:modified>
  <cp:contentStatus/>
</cp:coreProperties>
</file>